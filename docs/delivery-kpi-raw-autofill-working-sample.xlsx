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Raw Delivery Log" sheetId="2" state="visible" r:id="rId2"/>
    <sheet name="Billability &amp; Utilization" sheetId="3" state="visible" r:id="rId3"/>
    <sheet name="Delivery Excellence" sheetId="4" state="visible" r:id="rId4"/>
    <sheet name="Quality &amp; Process" sheetId="5" state="visible" r:id="rId5"/>
    <sheet name="Value Add &amp; Client Satisfaction" sheetId="6" state="visible" r:id="rId6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409]dd\-mmm\-yy;@"/>
  </numFmts>
  <fonts count="6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9"/>
      <scheme val="minor"/>
    </font>
    <font>
      <name val="Meiryo"/>
      <charset val="128"/>
      <family val="2"/>
      <color rgb="FF222222"/>
      <sz val="9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1">
      <alignment vertical="center"/>
    </xf>
    <xf numFmtId="15" fontId="4" fillId="2" borderId="1" applyAlignment="1" pivotButton="0" quotePrefix="0" xfId="0">
      <alignment horizontal="center" vertical="center"/>
    </xf>
    <xf numFmtId="1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sj.backlog.com/view/TORIDOLL_INTERNAL-564" TargetMode="External" Id="rId1" /><Relationship Type="http://schemas.openxmlformats.org/officeDocument/2006/relationships/hyperlink" Target="https://msj.backlog.com/view/TORIDOLL_INTERNAL-2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9" sqref="B9"/>
    </sheetView>
  </sheetViews>
  <sheetFormatPr baseColWidth="8" defaultRowHeight="15.6"/>
  <cols>
    <col width="28.796875" customWidth="1" min="1" max="1"/>
    <col width="36.796875" customWidth="1" min="2" max="2"/>
    <col width="60.796875" customWidth="1" min="3" max="3"/>
  </cols>
  <sheetData>
    <row r="1">
      <c r="A1" t="inlineStr">
        <is>
          <t>Template</t>
        </is>
      </c>
      <c r="B1" t="inlineStr">
        <is>
          <t>Delivery Department KPI</t>
        </is>
      </c>
    </row>
    <row r="2">
      <c r="A2" t="inlineStr">
        <is>
          <t>Period Start (YYYY-MM-DD)</t>
        </is>
      </c>
      <c r="B2" s="10" t="n"/>
    </row>
    <row r="3">
      <c r="A3" t="inlineStr">
        <is>
          <t>Period End (YYYY-MM-DD)</t>
        </is>
      </c>
      <c r="B3" s="10" t="n"/>
    </row>
    <row r="5">
      <c r="A5" t="inlineStr">
        <is>
          <t>Goal Comments</t>
        </is>
      </c>
    </row>
    <row r="6">
      <c r="A6" t="inlineStr">
        <is>
          <t>Goal Key</t>
        </is>
      </c>
      <c r="B6" t="inlineStr">
        <is>
          <t>Goal Name</t>
        </is>
      </c>
      <c r="C6" t="inlineStr">
        <is>
          <t>Comment</t>
        </is>
      </c>
    </row>
    <row r="7">
      <c r="A7" t="inlineStr">
        <is>
          <t>billability_utilization</t>
        </is>
      </c>
      <c r="B7" t="inlineStr">
        <is>
          <t>Billability &amp; Utilization</t>
        </is>
      </c>
    </row>
    <row r="8">
      <c r="A8" t="inlineStr">
        <is>
          <t>delivery_excellence</t>
        </is>
      </c>
      <c r="B8" t="inlineStr">
        <is>
          <t>Delivery Excellence</t>
        </is>
      </c>
    </row>
    <row r="9">
      <c r="A9" t="inlineStr">
        <is>
          <t>quality_process</t>
        </is>
      </c>
      <c r="B9" t="inlineStr">
        <is>
          <t>Quality &amp; Process</t>
        </is>
      </c>
    </row>
    <row r="10">
      <c r="A10" t="inlineStr">
        <is>
          <t>value_client</t>
        </is>
      </c>
      <c r="B10" t="inlineStr">
        <is>
          <t>Value Add &amp; Client Satisfaction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topLeftCell="A28" workbookViewId="0">
      <selection activeCell="S7" sqref="S7"/>
    </sheetView>
  </sheetViews>
  <sheetFormatPr baseColWidth="8" defaultRowHeight="15.6"/>
  <cols>
    <col width="8" customWidth="1" min="1" max="1"/>
    <col width="22" customWidth="1" min="2" max="2"/>
    <col width="28" customWidth="1" min="3" max="3"/>
    <col width="34" customWidth="1" min="4" max="4"/>
    <col width="14" customWidth="1" min="5" max="7"/>
    <col width="14" customWidth="1" min="6" max="6"/>
    <col width="14" customWidth="1" min="7" max="7"/>
    <col width="14" customWidth="1" min="8" max="8"/>
    <col width="16" customWidth="1" min="9" max="9"/>
    <col width="22" customWidth="1" min="10" max="10"/>
    <col width="12" customWidth="1" min="11" max="12"/>
    <col width="16" customWidth="1" min="12" max="12"/>
    <col width="16" customWidth="1" min="13" max="13"/>
    <col width="24" customWidth="1" min="14" max="15"/>
    <col width="12" customWidth="1" min="15" max="15"/>
    <col width="12" customWidth="1" min="16" max="16"/>
    <col width="24" customWidth="1" min="17" max="17"/>
    <col width="22" customWidth="1" min="18" max="20"/>
    <col width="10" customWidth="1" min="19" max="19"/>
    <col width="10" customWidth="1" min="20" max="20"/>
    <col width="10" customWidth="1" min="21" max="21"/>
  </cols>
  <sheetData>
    <row r="1">
      <c r="A1" t="inlineStr">
        <is>
          <t>Month / Period</t>
        </is>
      </c>
    </row>
    <row r="2">
      <c r="A2" t="inlineStr">
        <is>
          <t>Sr No</t>
        </is>
      </c>
      <c r="B2" t="inlineStr">
        <is>
          <t>Ticket/Task ID</t>
        </is>
      </c>
      <c r="C2" t="inlineStr">
        <is>
          <t>Project/Module</t>
        </is>
      </c>
      <c r="D2" t="inlineStr">
        <is>
          <t>Issue Description</t>
        </is>
      </c>
      <c r="E2" t="inlineStr">
        <is>
          <t>Issue Date</t>
        </is>
      </c>
      <c r="F2" t="inlineStr">
        <is>
          <t>Due Date</t>
        </is>
      </c>
      <c r="G2" t="inlineStr">
        <is>
          <t>Start Date</t>
        </is>
      </c>
      <c r="H2" t="inlineStr">
        <is>
          <t>Delivery Date</t>
        </is>
      </c>
      <c r="I2" t="inlineStr">
        <is>
          <t>Delivered? (Y/N)</t>
        </is>
      </c>
      <c r="J2" t="inlineStr">
        <is>
          <t>Rework Required? (Y/N)</t>
        </is>
      </c>
      <c r="K2" t="inlineStr">
        <is>
          <t>Rework Count</t>
        </is>
      </c>
      <c r="L2" t="inlineStr">
        <is>
          <t>Escalated? (Y/N)</t>
        </is>
      </c>
      <c r="M2" t="inlineStr">
        <is>
          <t>Escalation Level</t>
        </is>
      </c>
      <c r="N2" t="inlineStr">
        <is>
          <t>Post-Delivery Defect? (Y/N)</t>
        </is>
      </c>
      <c r="O2" t="inlineStr">
        <is>
          <t>Defect Count</t>
        </is>
      </c>
      <c r="P2" t="inlineStr">
        <is>
          <t>Type</t>
        </is>
      </c>
      <c r="Q2" t="inlineStr">
        <is>
          <t>Root Cause</t>
        </is>
      </c>
      <c r="R2" t="inlineStr">
        <is>
          <t>Reference Link</t>
        </is>
      </c>
      <c r="S2" t="inlineStr">
        <is>
          <t>FTR Flag</t>
        </is>
      </c>
      <c r="T2" t="inlineStr">
        <is>
          <t>ESC Flag</t>
        </is>
      </c>
      <c r="U2" t="inlineStr">
        <is>
          <t>PDD Flag</t>
        </is>
      </c>
    </row>
    <row r="3">
      <c r="A3" t="n">
        <v>1</v>
      </c>
      <c r="B3" s="1" t="n"/>
      <c r="C3" s="2" t="n"/>
      <c r="D3" s="2" t="n"/>
      <c r="E3" s="3" t="n"/>
      <c r="F3" s="4" t="n"/>
      <c r="H3" s="4" t="n"/>
      <c r="I3" s="5" t="n"/>
      <c r="J3" s="5" t="n"/>
      <c r="K3" s="5" t="n"/>
      <c r="L3" s="5" t="n"/>
      <c r="M3" s="5" t="n"/>
      <c r="N3" s="5" t="n"/>
      <c r="O3" s="5" t="n"/>
      <c r="P3" s="5" t="n"/>
      <c r="Q3" s="6" t="n"/>
      <c r="R3" s="7" t="n"/>
      <c r="S3">
        <f>IF(AND(I3="Y",J3&lt;&gt;"Y"),1,0)</f>
        <v/>
      </c>
      <c r="T3">
        <f>IF(L3="Y",1,0)</f>
        <v/>
      </c>
      <c r="U3">
        <f>IF(N3="Y",1,0)</f>
        <v/>
      </c>
    </row>
    <row r="4">
      <c r="A4" t="n">
        <v>2</v>
      </c>
      <c r="B4" s="1" t="n"/>
      <c r="C4" s="2" t="n"/>
      <c r="D4" s="2" t="n"/>
      <c r="E4" s="3" t="n"/>
      <c r="F4" s="4" t="n"/>
      <c r="H4" s="4" t="n"/>
      <c r="I4" s="5" t="n"/>
      <c r="J4" s="5" t="n"/>
      <c r="K4" s="5" t="n"/>
      <c r="L4" s="5" t="n"/>
      <c r="M4" s="5" t="n"/>
      <c r="N4" s="5" t="n"/>
      <c r="O4" s="5" t="n"/>
      <c r="P4" s="5" t="n"/>
      <c r="Q4" s="6" t="inlineStr">
        <is>
          <t>https://msj.backlog.com/view/TORIDOLL_INTERNAL-564</t>
        </is>
      </c>
      <c r="R4" s="8" t="inlineStr">
        <is>
          <t>https://msj.backlog.com/view/TORIDOLL_INTERNAL-564</t>
        </is>
      </c>
      <c r="S4">
        <f>IF(AND(I4="Y",J4&lt;&gt;"Y"),1,0)</f>
        <v/>
      </c>
      <c r="T4">
        <f>IF(L4="Y",1,0)</f>
        <v/>
      </c>
      <c r="U4">
        <f>IF(N4="Y",1,0)</f>
        <v/>
      </c>
    </row>
    <row r="5">
      <c r="A5" t="n">
        <v>3</v>
      </c>
      <c r="B5" s="1" t="n"/>
      <c r="C5" s="2" t="n"/>
      <c r="D5" s="2" t="n"/>
      <c r="E5" s="4" t="n"/>
      <c r="F5" s="4" t="n"/>
      <c r="H5" s="4" t="n"/>
      <c r="I5" s="5" t="n"/>
      <c r="J5" s="5" t="n"/>
      <c r="K5" s="5" t="n"/>
      <c r="L5" s="5" t="n"/>
      <c r="M5" s="5" t="n"/>
      <c r="N5" s="5" t="n"/>
      <c r="O5" s="5" t="n"/>
      <c r="P5" s="5" t="n"/>
      <c r="Q5" s="6" t="inlineStr">
        <is>
          <t>https://msj.backlog.com/view/TORIDOLL_INTERNAL-261</t>
        </is>
      </c>
      <c r="R5" s="8" t="inlineStr">
        <is>
          <t>https://msj.backlog.com/view/TORIDOLL_INTERNAL-261</t>
        </is>
      </c>
      <c r="S5">
        <f>IF(AND(I5="Y",J5&lt;&gt;"Y"),1,0)</f>
        <v/>
      </c>
      <c r="T5">
        <f>IF(L5="Y",1,0)</f>
        <v/>
      </c>
      <c r="U5">
        <f>IF(N5="Y",1,0)</f>
        <v/>
      </c>
    </row>
    <row r="6">
      <c r="A6" t="n">
        <v>4</v>
      </c>
      <c r="B6" s="1" t="n"/>
      <c r="C6" s="2" t="n"/>
      <c r="D6" s="2" t="n"/>
      <c r="E6" s="4" t="n"/>
      <c r="F6" s="4" t="n"/>
      <c r="H6" s="4" t="n"/>
      <c r="I6" s="5" t="n"/>
      <c r="J6" s="5" t="n"/>
      <c r="K6" s="5" t="n"/>
      <c r="L6" s="5" t="n"/>
      <c r="M6" s="5" t="n"/>
      <c r="N6" s="5" t="n"/>
      <c r="O6" s="5" t="n"/>
      <c r="P6" s="5" t="n"/>
      <c r="Q6" s="6" t="n"/>
      <c r="R6" s="8" t="n"/>
      <c r="S6">
        <f>IF(AND(I6="Y",J6&lt;&gt;"Y"),1,0)</f>
        <v/>
      </c>
      <c r="T6">
        <f>IF(L6="Y",1,0)</f>
        <v/>
      </c>
      <c r="U6">
        <f>IF(N6="Y",1,0)</f>
        <v/>
      </c>
    </row>
    <row r="7">
      <c r="A7" t="n">
        <v>5</v>
      </c>
      <c r="B7" s="1" t="n"/>
      <c r="C7" s="6" t="n"/>
      <c r="D7" s="6" t="n"/>
      <c r="E7" s="3" t="n"/>
      <c r="F7" s="4" t="n"/>
      <c r="H7" s="9" t="n"/>
      <c r="I7" s="5" t="n"/>
      <c r="J7" s="5" t="n"/>
      <c r="K7" s="5" t="n"/>
      <c r="L7" s="5" t="n"/>
      <c r="M7" s="5" t="n"/>
      <c r="N7" s="5" t="n"/>
      <c r="O7" s="5" t="n"/>
      <c r="P7" s="5" t="n"/>
      <c r="Q7" s="6" t="n"/>
      <c r="R7" s="6" t="n"/>
      <c r="S7">
        <f>IF(AND(I7="Y",J7&lt;&gt;"Y"),1,0)</f>
        <v/>
      </c>
      <c r="T7">
        <f>IF(L7="Y",1,0)</f>
        <v/>
      </c>
      <c r="U7">
        <f>IF(N7="Y",1,0)</f>
        <v/>
      </c>
    </row>
    <row r="8">
      <c r="A8" t="n">
        <v>6</v>
      </c>
      <c r="S8">
        <f>IF(AND(I8="Y",J8&lt;&gt;"Y"),1,0)</f>
        <v/>
      </c>
      <c r="T8">
        <f>IF(L8="Y",1,0)</f>
        <v/>
      </c>
      <c r="U8">
        <f>IF(N8="Y",1,0)</f>
        <v/>
      </c>
    </row>
    <row r="9">
      <c r="A9" t="n">
        <v>7</v>
      </c>
      <c r="S9">
        <f>IF(AND(I9="Y",J9&lt;&gt;"Y"),1,0)</f>
        <v/>
      </c>
      <c r="T9">
        <f>IF(L9="Y",1,0)</f>
        <v/>
      </c>
      <c r="U9">
        <f>IF(N9="Y",1,0)</f>
        <v/>
      </c>
    </row>
    <row r="10">
      <c r="A10" t="n">
        <v>8</v>
      </c>
      <c r="S10">
        <f>IF(AND(I10="Y",J10&lt;&gt;"Y"),1,0)</f>
        <v/>
      </c>
      <c r="T10">
        <f>IF(L10="Y",1,0)</f>
        <v/>
      </c>
      <c r="U10">
        <f>IF(N10="Y",1,0)</f>
        <v/>
      </c>
    </row>
    <row r="11">
      <c r="A11" t="n">
        <v>9</v>
      </c>
      <c r="S11">
        <f>IF(AND(I11="Y",J11&lt;&gt;"Y"),1,0)</f>
        <v/>
      </c>
      <c r="T11">
        <f>IF(L11="Y",1,0)</f>
        <v/>
      </c>
      <c r="U11">
        <f>IF(N11="Y",1,0)</f>
        <v/>
      </c>
    </row>
    <row r="12">
      <c r="A12" t="n">
        <v>10</v>
      </c>
      <c r="S12">
        <f>IF(AND(I12="Y",J12&lt;&gt;"Y"),1,0)</f>
        <v/>
      </c>
      <c r="T12">
        <f>IF(L12="Y",1,0)</f>
        <v/>
      </c>
      <c r="U12">
        <f>IF(N12="Y",1,0)</f>
        <v/>
      </c>
    </row>
    <row r="13">
      <c r="A13" t="n">
        <v>11</v>
      </c>
      <c r="S13">
        <f>IF(AND(I13="Y",J13&lt;&gt;"Y"),1,0)</f>
        <v/>
      </c>
      <c r="T13">
        <f>IF(L13="Y",1,0)</f>
        <v/>
      </c>
      <c r="U13">
        <f>IF(N13="Y",1,0)</f>
        <v/>
      </c>
    </row>
    <row r="14">
      <c r="A14" t="n">
        <v>12</v>
      </c>
      <c r="S14">
        <f>IF(AND(I14="Y",J14&lt;&gt;"Y"),1,0)</f>
        <v/>
      </c>
      <c r="T14">
        <f>IF(L14="Y",1,0)</f>
        <v/>
      </c>
      <c r="U14">
        <f>IF(N14="Y",1,0)</f>
        <v/>
      </c>
    </row>
    <row r="15">
      <c r="A15" t="n">
        <v>13</v>
      </c>
      <c r="S15">
        <f>IF(AND(I15="Y",J15&lt;&gt;"Y"),1,0)</f>
        <v/>
      </c>
      <c r="T15">
        <f>IF(L15="Y",1,0)</f>
        <v/>
      </c>
      <c r="U15">
        <f>IF(N15="Y",1,0)</f>
        <v/>
      </c>
    </row>
    <row r="16">
      <c r="A16" t="n">
        <v>14</v>
      </c>
      <c r="S16">
        <f>IF(AND(I16="Y",J16&lt;&gt;"Y"),1,0)</f>
        <v/>
      </c>
      <c r="T16">
        <f>IF(L16="Y",1,0)</f>
        <v/>
      </c>
      <c r="U16">
        <f>IF(N16="Y",1,0)</f>
        <v/>
      </c>
    </row>
    <row r="17">
      <c r="A17" t="n">
        <v>15</v>
      </c>
      <c r="S17">
        <f>IF(AND(I17="Y",J17&lt;&gt;"Y"),1,0)</f>
        <v/>
      </c>
      <c r="T17">
        <f>IF(L17="Y",1,0)</f>
        <v/>
      </c>
      <c r="U17">
        <f>IF(N17="Y",1,0)</f>
        <v/>
      </c>
    </row>
    <row r="18">
      <c r="A18" t="n">
        <v>16</v>
      </c>
      <c r="S18">
        <f>IF(AND(I18="Y",J18&lt;&gt;"Y"),1,0)</f>
        <v/>
      </c>
      <c r="T18">
        <f>IF(L18="Y",1,0)</f>
        <v/>
      </c>
      <c r="U18">
        <f>IF(N18="Y",1,0)</f>
        <v/>
      </c>
    </row>
    <row r="19">
      <c r="A19" t="n">
        <v>17</v>
      </c>
      <c r="S19">
        <f>IF(AND(I19="Y",J19&lt;&gt;"Y"),1,0)</f>
        <v/>
      </c>
      <c r="T19">
        <f>IF(L19="Y",1,0)</f>
        <v/>
      </c>
      <c r="U19">
        <f>IF(N19="Y",1,0)</f>
        <v/>
      </c>
    </row>
    <row r="20">
      <c r="A20" t="n">
        <v>18</v>
      </c>
      <c r="S20">
        <f>IF(AND(I20="Y",J20&lt;&gt;"Y"),1,0)</f>
        <v/>
      </c>
      <c r="T20">
        <f>IF(L20="Y",1,0)</f>
        <v/>
      </c>
      <c r="U20">
        <f>IF(N20="Y",1,0)</f>
        <v/>
      </c>
    </row>
    <row r="21">
      <c r="A21" t="n">
        <v>19</v>
      </c>
      <c r="S21">
        <f>IF(AND(I21="Y",J21&lt;&gt;"Y"),1,0)</f>
        <v/>
      </c>
      <c r="T21">
        <f>IF(L21="Y",1,0)</f>
        <v/>
      </c>
      <c r="U21">
        <f>IF(N21="Y",1,0)</f>
        <v/>
      </c>
    </row>
    <row r="22">
      <c r="A22" t="n">
        <v>20</v>
      </c>
      <c r="S22">
        <f>IF(AND(I22="Y",J22&lt;&gt;"Y"),1,0)</f>
        <v/>
      </c>
      <c r="T22">
        <f>IF(L22="Y",1,0)</f>
        <v/>
      </c>
      <c r="U22">
        <f>IF(N22="Y",1,0)</f>
        <v/>
      </c>
    </row>
    <row r="23">
      <c r="A23" t="n">
        <v>21</v>
      </c>
      <c r="S23">
        <f>IF(AND(I23="Y",J23&lt;&gt;"Y"),1,0)</f>
        <v/>
      </c>
      <c r="T23">
        <f>IF(L23="Y",1,0)</f>
        <v/>
      </c>
      <c r="U23">
        <f>IF(N23="Y",1,0)</f>
        <v/>
      </c>
    </row>
    <row r="24">
      <c r="A24" t="n">
        <v>22</v>
      </c>
      <c r="S24">
        <f>IF(AND(I24="Y",J24&lt;&gt;"Y"),1,0)</f>
        <v/>
      </c>
      <c r="T24">
        <f>IF(L24="Y",1,0)</f>
        <v/>
      </c>
      <c r="U24">
        <f>IF(N24="Y",1,0)</f>
        <v/>
      </c>
    </row>
    <row r="25">
      <c r="A25" t="n">
        <v>23</v>
      </c>
      <c r="S25">
        <f>IF(AND(I25="Y",J25&lt;&gt;"Y"),1,0)</f>
        <v/>
      </c>
      <c r="T25">
        <f>IF(L25="Y",1,0)</f>
        <v/>
      </c>
      <c r="U25">
        <f>IF(N25="Y",1,0)</f>
        <v/>
      </c>
    </row>
    <row r="26">
      <c r="A26" t="n">
        <v>24</v>
      </c>
      <c r="S26">
        <f>IF(AND(I26="Y",J26&lt;&gt;"Y"),1,0)</f>
        <v/>
      </c>
      <c r="T26">
        <f>IF(L26="Y",1,0)</f>
        <v/>
      </c>
      <c r="U26">
        <f>IF(N26="Y",1,0)</f>
        <v/>
      </c>
    </row>
    <row r="27">
      <c r="A27" t="n">
        <v>25</v>
      </c>
      <c r="S27">
        <f>IF(AND(I27="Y",J27&lt;&gt;"Y"),1,0)</f>
        <v/>
      </c>
      <c r="T27">
        <f>IF(L27="Y",1,0)</f>
        <v/>
      </c>
      <c r="U27">
        <f>IF(N27="Y",1,0)</f>
        <v/>
      </c>
    </row>
    <row r="28">
      <c r="A28" t="n">
        <v>26</v>
      </c>
      <c r="S28">
        <f>IF(AND(I28="Y",J28&lt;&gt;"Y"),1,0)</f>
        <v/>
      </c>
      <c r="T28">
        <f>IF(L28="Y",1,0)</f>
        <v/>
      </c>
      <c r="U28">
        <f>IF(N28="Y",1,0)</f>
        <v/>
      </c>
    </row>
    <row r="29">
      <c r="A29" t="n">
        <v>27</v>
      </c>
      <c r="S29">
        <f>IF(AND(I29="Y",J29&lt;&gt;"Y"),1,0)</f>
        <v/>
      </c>
      <c r="T29">
        <f>IF(L29="Y",1,0)</f>
        <v/>
      </c>
      <c r="U29">
        <f>IF(N29="Y",1,0)</f>
        <v/>
      </c>
    </row>
    <row r="30">
      <c r="A30" t="n">
        <v>28</v>
      </c>
      <c r="S30">
        <f>IF(AND(I30="Y",J30&lt;&gt;"Y"),1,0)</f>
        <v/>
      </c>
      <c r="T30">
        <f>IF(L30="Y",1,0)</f>
        <v/>
      </c>
      <c r="U30">
        <f>IF(N30="Y",1,0)</f>
        <v/>
      </c>
    </row>
    <row r="31">
      <c r="A31" t="n">
        <v>29</v>
      </c>
      <c r="S31">
        <f>IF(AND(I31="Y",J31&lt;&gt;"Y"),1,0)</f>
        <v/>
      </c>
      <c r="T31">
        <f>IF(L31="Y",1,0)</f>
        <v/>
      </c>
      <c r="U31">
        <f>IF(N31="Y",1,0)</f>
        <v/>
      </c>
    </row>
    <row r="32">
      <c r="A32" t="n">
        <v>30</v>
      </c>
      <c r="S32">
        <f>IF(AND(I32="Y",J32&lt;&gt;"Y"),1,0)</f>
        <v/>
      </c>
      <c r="T32">
        <f>IF(L32="Y",1,0)</f>
        <v/>
      </c>
      <c r="U32">
        <f>IF(N32="Y",1,0)</f>
        <v/>
      </c>
    </row>
    <row r="33">
      <c r="A33" t="n">
        <v>31</v>
      </c>
      <c r="S33">
        <f>IF(AND(I33="Y",J33&lt;&gt;"Y"),1,0)</f>
        <v/>
      </c>
      <c r="T33">
        <f>IF(L33="Y",1,0)</f>
        <v/>
      </c>
      <c r="U33">
        <f>IF(N33="Y",1,0)</f>
        <v/>
      </c>
    </row>
    <row r="34">
      <c r="A34" t="n">
        <v>32</v>
      </c>
      <c r="S34">
        <f>IF(AND(I34="Y",J34&lt;&gt;"Y"),1,0)</f>
        <v/>
      </c>
      <c r="T34">
        <f>IF(L34="Y",1,0)</f>
        <v/>
      </c>
      <c r="U34">
        <f>IF(N34="Y",1,0)</f>
        <v/>
      </c>
    </row>
    <row r="35">
      <c r="A35" t="n">
        <v>33</v>
      </c>
      <c r="S35">
        <f>IF(AND(I35="Y",J35&lt;&gt;"Y"),1,0)</f>
        <v/>
      </c>
      <c r="T35">
        <f>IF(L35="Y",1,0)</f>
        <v/>
      </c>
      <c r="U35">
        <f>IF(N35="Y",1,0)</f>
        <v/>
      </c>
    </row>
    <row r="36">
      <c r="A36" t="n">
        <v>34</v>
      </c>
      <c r="S36">
        <f>IF(AND(I36="Y",J36&lt;&gt;"Y"),1,0)</f>
        <v/>
      </c>
      <c r="T36">
        <f>IF(L36="Y",1,0)</f>
        <v/>
      </c>
      <c r="U36">
        <f>IF(N36="Y",1,0)</f>
        <v/>
      </c>
    </row>
    <row r="37">
      <c r="A37" t="n">
        <v>35</v>
      </c>
      <c r="S37">
        <f>IF(AND(I37="Y",J37&lt;&gt;"Y"),1,0)</f>
        <v/>
      </c>
      <c r="T37">
        <f>IF(L37="Y",1,0)</f>
        <v/>
      </c>
      <c r="U37">
        <f>IF(N37="Y",1,0)</f>
        <v/>
      </c>
    </row>
    <row r="38">
      <c r="A38" t="n">
        <v>36</v>
      </c>
      <c r="S38">
        <f>IF(AND(I38="Y",J38&lt;&gt;"Y"),1,0)</f>
        <v/>
      </c>
      <c r="T38">
        <f>IF(L38="Y",1,0)</f>
        <v/>
      </c>
      <c r="U38">
        <f>IF(N38="Y",1,0)</f>
        <v/>
      </c>
    </row>
    <row r="39">
      <c r="A39" t="n">
        <v>37</v>
      </c>
      <c r="S39">
        <f>IF(AND(I39="Y",J39&lt;&gt;"Y"),1,0)</f>
        <v/>
      </c>
      <c r="T39">
        <f>IF(L39="Y",1,0)</f>
        <v/>
      </c>
      <c r="U39">
        <f>IF(N39="Y",1,0)</f>
        <v/>
      </c>
    </row>
    <row r="41">
      <c r="A41" t="inlineStr">
        <is>
          <t>Total Delivered (Y)</t>
        </is>
      </c>
      <c r="B41">
        <f>COUNTIFS(I3:I39,"Y")</f>
        <v/>
      </c>
      <c r="C41" t="inlineStr">
        <is>
          <t>Count</t>
        </is>
      </c>
    </row>
    <row r="42">
      <c r="A42" t="inlineStr">
        <is>
          <t>First Time Right Count</t>
        </is>
      </c>
      <c r="B42">
        <f>COUNTIFS(I3:I39,"Y",J3:J39,"&lt;&gt;Y")</f>
        <v/>
      </c>
      <c r="C42" t="inlineStr">
        <is>
          <t>Count</t>
        </is>
      </c>
    </row>
    <row r="43">
      <c r="A43" t="inlineStr">
        <is>
          <t>Escalation Count</t>
        </is>
      </c>
      <c r="B43">
        <f>COUNTIFS(L3:L39,"Y")</f>
        <v/>
      </c>
      <c r="C43" t="inlineStr">
        <is>
          <t>Count</t>
        </is>
      </c>
    </row>
    <row r="44">
      <c r="A44" t="inlineStr">
        <is>
          <t>Post-Delivery Defect Count</t>
        </is>
      </c>
      <c r="B44">
        <f>COUNTIFS(N3:N39,"Y")</f>
        <v/>
      </c>
      <c r="C44" t="inlineStr">
        <is>
          <t>Count</t>
        </is>
      </c>
    </row>
    <row r="45">
      <c r="A45" t="inlineStr">
        <is>
          <t>First Time Right (%)</t>
        </is>
      </c>
      <c r="B45">
        <f>IF(B41=0,0,ROUND((B42/B41)*100,2))</f>
        <v/>
      </c>
      <c r="C45" t="inlineStr">
        <is>
          <t>%</t>
        </is>
      </c>
    </row>
    <row r="46">
      <c r="A46" t="inlineStr">
        <is>
          <t>Escalation Rate (%)</t>
        </is>
      </c>
      <c r="B46">
        <f>IF(B41=0,0,ROUND((B43/B41)*100,2))</f>
        <v/>
      </c>
      <c r="C46" t="inlineStr">
        <is>
          <t>%</t>
        </is>
      </c>
    </row>
    <row r="47">
      <c r="A47" t="inlineStr">
        <is>
          <t>Post-Delivery Defect Rate (%)</t>
        </is>
      </c>
      <c r="B47">
        <f>IF(B41=0,0,ROUND((B44/B41)*100,2))</f>
        <v/>
      </c>
      <c r="C47" t="inlineStr">
        <is>
          <t>%</t>
        </is>
      </c>
    </row>
  </sheetData>
  <dataValidations count="2">
    <dataValidation sqref="I3:J39 L3:L39 N3:N39" showDropDown="0" showInputMessage="0" showErrorMessage="0" allowBlank="1" errorTitle="Invalid value" error="Select Y or N." promptTitle="Y/N" prompt="Choose Y or N from dropdown." type="list">
      <formula1>"Y,N"</formula1>
    </dataValidation>
    <dataValidation sqref="P3:P39" showDropDown="0" showInputMessage="0" showErrorMessage="0" allowBlank="1" errorTitle="Invalid value" error="Choose a valid Type value from dropdown." promptTitle="Type" prompt="Choose delivery item type." type="list">
      <formula1>"Value Add,Bug,Story,Training,Knowledge Sharing"</formula1>
    </dataValidation>
  </dataValidations>
  <hyperlinks>
    <hyperlink xmlns:r="http://schemas.openxmlformats.org/officeDocument/2006/relationships" ref="Q4" display="https://msj.backlog.com/view/TORIDOLL_INTERNAL-564" r:id="rId1"/>
    <hyperlink xmlns:r="http://schemas.openxmlformats.org/officeDocument/2006/relationships" ref="Q5" display="https://msj.backlog.com/view/TORIDOLL_INTERNAL-261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billability_utilization</t>
        </is>
      </c>
    </row>
    <row r="2">
      <c r="A2" t="inlineStr">
        <is>
          <t>Goal Name</t>
        </is>
      </c>
      <c r="B2" t="inlineStr">
        <is>
          <t>Billability &amp; Utilization</t>
        </is>
      </c>
    </row>
    <row r="3">
      <c r="A3" t="inlineStr">
        <is>
          <t>Description</t>
        </is>
      </c>
      <c r="B3" t="inlineStr">
        <is>
          <t>Ensure optimal utilization of delivery resources and maximize billable contribution.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bu_billable_hours</t>
        </is>
      </c>
      <c r="B7" t="inlineStr">
        <is>
          <t>Billable Hours (Input)</t>
        </is>
      </c>
      <c r="C7" t="inlineStr">
        <is>
          <t>NUMBER</t>
        </is>
      </c>
      <c r="D7" t="inlineStr">
        <is>
          <t>Yes</t>
        </is>
      </c>
    </row>
    <row r="8">
      <c r="A8" t="inlineStr">
        <is>
          <t>bu_available_hours</t>
        </is>
      </c>
      <c r="B8" t="inlineStr">
        <is>
          <t>Available Hours (Input)</t>
        </is>
      </c>
      <c r="C8" t="inlineStr">
        <is>
          <t>NUMBER</t>
        </is>
      </c>
      <c r="D8" t="inlineStr">
        <is>
          <t>Yes</t>
        </is>
      </c>
    </row>
    <row r="9">
      <c r="A9" t="inlineStr">
        <is>
          <t>bu_total_working_hours</t>
        </is>
      </c>
      <c r="B9" t="inlineStr">
        <is>
          <t>Total Working Hours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utilization_rate</t>
        </is>
      </c>
      <c r="B10" t="inlineStr">
        <is>
          <t>Utilization Rate (%)</t>
        </is>
      </c>
      <c r="C10" t="inlineStr">
        <is>
          <t>PERCENT</t>
        </is>
      </c>
      <c r="D10" t="inlineStr">
        <is>
          <t>Auto</t>
        </is>
      </c>
      <c r="E10" t="inlineStr">
        <is>
          <t>Measures the percentage of available working hours that are spent on billable activities.</t>
        </is>
      </c>
      <c r="F10">
        <f>IFERROR((F7 / F8) * 100, "")</f>
        <v/>
      </c>
    </row>
    <row r="11">
      <c r="A11" t="inlineStr">
        <is>
          <t>billability_rate</t>
        </is>
      </c>
      <c r="B11" t="inlineStr">
        <is>
          <t>Billability Rate (%)</t>
        </is>
      </c>
      <c r="C11" t="inlineStr">
        <is>
          <t>PERCENT</t>
        </is>
      </c>
      <c r="D11" t="inlineStr">
        <is>
          <t>Auto</t>
        </is>
      </c>
      <c r="E11" t="inlineStr">
        <is>
          <t>Measures percentage of total working time that is billable to clients.</t>
        </is>
      </c>
      <c r="F11">
        <f>IFERROR((F7 / F9) * 100,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F15" sqref="F15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delivery_excellence</t>
        </is>
      </c>
    </row>
    <row r="2">
      <c r="A2" t="inlineStr">
        <is>
          <t>Goal Name</t>
        </is>
      </c>
      <c r="B2" t="inlineStr">
        <is>
          <t>Delivery Excellence</t>
        </is>
      </c>
    </row>
    <row r="3">
      <c r="A3" t="inlineStr">
        <is>
          <t>Description</t>
        </is>
      </c>
      <c r="B3" t="inlineStr">
        <is>
          <t>Ensure projects are delivered on time, within budget, and with high quality.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de_projects_on_time_budget</t>
        </is>
      </c>
      <c r="B7" t="inlineStr">
        <is>
          <t>Projects Delivered On Time &amp; Budget (Input)</t>
        </is>
      </c>
      <c r="C7" t="inlineStr">
        <is>
          <t>NUMBER</t>
        </is>
      </c>
      <c r="D7" t="inlineStr">
        <is>
          <t>Yes</t>
        </is>
      </c>
      <c r="F7">
        <f>SUMPRODUCT(--('Raw Delivery Log'!$I$3:$I$39="Y"),--('Raw Delivery Log'!$H$3:$H$39&lt;='Raw Delivery Log'!$F$3:$F$39))</f>
        <v/>
      </c>
    </row>
    <row r="8">
      <c r="A8" t="inlineStr">
        <is>
          <t>de_total_projects_delivered</t>
        </is>
      </c>
      <c r="B8" t="inlineStr">
        <is>
          <t>Total Projects Delivered (Input)</t>
        </is>
      </c>
      <c r="C8" t="inlineStr">
        <is>
          <t>NUMBER</t>
        </is>
      </c>
      <c r="D8" t="inlineStr">
        <is>
          <t>Yes</t>
        </is>
      </c>
      <c r="F8">
        <f>COUNTIFS('Raw Delivery Log'!$I$3:$I$39,"Y")</f>
        <v/>
      </c>
    </row>
    <row r="9">
      <c r="A9" t="inlineStr">
        <is>
          <t>de_approved_scope_changes</t>
        </is>
      </c>
      <c r="B9" t="inlineStr">
        <is>
          <t>Approved Scope Changes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de_total_scope_requests</t>
        </is>
      </c>
      <c r="B10" t="inlineStr">
        <is>
          <t>Total Scope Change Requests (Input)</t>
        </is>
      </c>
      <c r="C10" t="inlineStr">
        <is>
          <t>NUMBER</t>
        </is>
      </c>
      <c r="D10" t="inlineStr">
        <is>
          <t>Yes</t>
        </is>
      </c>
    </row>
    <row r="11">
      <c r="A11" t="inlineStr">
        <is>
          <t>de_deliverables_accepted</t>
        </is>
      </c>
      <c r="B11" t="inlineStr">
        <is>
          <t>Deliverables Accepted Without Rework (Input)</t>
        </is>
      </c>
      <c r="C11" t="inlineStr">
        <is>
          <t>NUMBER</t>
        </is>
      </c>
      <c r="D11" t="inlineStr">
        <is>
          <t>Auto (Raw Sheet)</t>
        </is>
      </c>
      <c r="F11">
        <f>IFERROR('Raw Delivery Log'!B42,"")</f>
        <v/>
      </c>
    </row>
    <row r="12">
      <c r="A12" t="inlineStr">
        <is>
          <t>de_total_deliverables</t>
        </is>
      </c>
      <c r="B12" t="inlineStr">
        <is>
          <t>Total Deliverables (Input)</t>
        </is>
      </c>
      <c r="C12" t="inlineStr">
        <is>
          <t>NUMBER</t>
        </is>
      </c>
      <c r="D12" t="inlineStr">
        <is>
          <t>Auto (Raw Sheet)</t>
        </is>
      </c>
      <c r="F12">
        <f>IFERROR('Raw Delivery Log'!B41,"")</f>
        <v/>
      </c>
    </row>
    <row r="13">
      <c r="A13" t="inlineStr">
        <is>
          <t>de_milestones_on_time</t>
        </is>
      </c>
      <c r="B13" t="inlineStr">
        <is>
          <t>Milestones Completed On Time (Input)</t>
        </is>
      </c>
      <c r="C13" t="inlineStr">
        <is>
          <t>NUMBER</t>
        </is>
      </c>
      <c r="D13" t="inlineStr">
        <is>
          <t>Yes</t>
        </is>
      </c>
    </row>
    <row r="14">
      <c r="A14" t="inlineStr">
        <is>
          <t>de_total_milestones</t>
        </is>
      </c>
      <c r="B14" t="inlineStr">
        <is>
          <t>Total Milestones (Input)</t>
        </is>
      </c>
      <c r="C14" t="inlineStr">
        <is>
          <t>NUMBER</t>
        </is>
      </c>
      <c r="D14" t="inlineStr">
        <is>
          <t>Yes</t>
        </is>
      </c>
    </row>
    <row r="15">
      <c r="A15" t="inlineStr">
        <is>
          <t>de_escalation_count</t>
        </is>
      </c>
      <c r="B15" t="inlineStr">
        <is>
          <t>Escalation Count (Input)</t>
        </is>
      </c>
      <c r="C15" t="inlineStr">
        <is>
          <t>NUMBER</t>
        </is>
      </c>
      <c r="D15" t="inlineStr">
        <is>
          <t>Auto (Raw Sheet)</t>
        </is>
      </c>
      <c r="F15">
        <f>IFERROR('Raw Delivery Log'!B43,"")</f>
        <v/>
      </c>
    </row>
    <row r="16">
      <c r="A16" t="inlineStr">
        <is>
          <t>de_post_delivery_defects</t>
        </is>
      </c>
      <c r="B16" t="inlineStr">
        <is>
          <t>Post Delivery Defects (Input)</t>
        </is>
      </c>
      <c r="C16" t="inlineStr">
        <is>
          <t>NUMBER</t>
        </is>
      </c>
      <c r="D16" t="inlineStr">
        <is>
          <t>Auto (Raw Sheet)</t>
        </is>
      </c>
      <c r="F16">
        <f>IFERROR('Raw Delivery Log'!B44,"")</f>
        <v/>
      </c>
    </row>
    <row r="17">
      <c r="A17" t="inlineStr">
        <is>
          <t>de_total_deliveries</t>
        </is>
      </c>
      <c r="B17" t="inlineStr">
        <is>
          <t>Total Deliveries (Input)</t>
        </is>
      </c>
      <c r="C17" t="inlineStr">
        <is>
          <t>NUMBER</t>
        </is>
      </c>
      <c r="D17" t="inlineStr">
        <is>
          <t>Auto (Raw Sheet)</t>
        </is>
      </c>
      <c r="F17">
        <f>IFERROR('Raw Delivery Log'!B41,"")</f>
        <v/>
      </c>
    </row>
    <row r="18">
      <c r="A18" t="inlineStr">
        <is>
          <t>on_time_delivery</t>
        </is>
      </c>
      <c r="B18" t="inlineStr">
        <is>
          <t>On-Time &amp; On-Budget Delivery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percentage of projects delivered on time and within approved budget.</t>
        </is>
      </c>
      <c r="F18">
        <f>IFERROR((F7 / F8) * 100, "")</f>
        <v/>
      </c>
    </row>
    <row r="19">
      <c r="A19" t="inlineStr">
        <is>
          <t>scope_change_control</t>
        </is>
      </c>
      <c r="B19" t="inlineStr">
        <is>
          <t>Scope Change Control Effectiveness (%)</t>
        </is>
      </c>
      <c r="C19" t="inlineStr">
        <is>
          <t>PERCENT</t>
        </is>
      </c>
      <c r="D19" t="inlineStr">
        <is>
          <t>Auto</t>
        </is>
      </c>
      <c r="E19" t="inlineStr">
        <is>
          <t>Measures effectiveness of managing and controlling project scope changes.</t>
        </is>
      </c>
      <c r="F19">
        <f>IFERROR((F9 / F10) * 100, "")</f>
        <v/>
      </c>
    </row>
    <row r="20">
      <c r="A20" t="inlineStr">
        <is>
          <t>first_time_right</t>
        </is>
      </c>
      <c r="B20" t="inlineStr">
        <is>
          <t>First Time Right (%)</t>
        </is>
      </c>
      <c r="C20" t="inlineStr">
        <is>
          <t>PERCENT</t>
        </is>
      </c>
      <c r="D20" t="inlineStr">
        <is>
          <t>Auto</t>
        </is>
      </c>
      <c r="E20" t="inlineStr">
        <is>
          <t>Measures percentage of deliverables accepted by client without requiring rework.</t>
        </is>
      </c>
      <c r="F20">
        <f>IFERROR((F11 / F12) * 100, "")</f>
        <v/>
      </c>
    </row>
    <row r="21">
      <c r="A21" t="inlineStr">
        <is>
          <t>schedule_adherence</t>
        </is>
      </c>
      <c r="B21" t="inlineStr">
        <is>
          <t>Schedule Adherence (%)</t>
        </is>
      </c>
      <c r="C21" t="inlineStr">
        <is>
          <t>PERCENT</t>
        </is>
      </c>
      <c r="D21" t="inlineStr">
        <is>
          <t>Auto</t>
        </is>
      </c>
      <c r="E21" t="inlineStr">
        <is>
          <t>Measures how well project milestones are delivered as per planned schedule.</t>
        </is>
      </c>
      <c r="F21">
        <f>IFERROR((F13 / F14) * 100, "")</f>
        <v/>
      </c>
    </row>
    <row r="22">
      <c r="A22" t="inlineStr">
        <is>
          <t>escalation_rate</t>
        </is>
      </c>
      <c r="B22" t="inlineStr">
        <is>
          <t>Escalation Rate (Count)</t>
        </is>
      </c>
      <c r="C22" t="inlineStr">
        <is>
          <t>NUMBER</t>
        </is>
      </c>
      <c r="D22" t="inlineStr">
        <is>
          <t>Auto</t>
        </is>
      </c>
      <c r="E22" t="inlineStr">
        <is>
          <t>Measures number of client escalations during delivery period.</t>
        </is>
      </c>
      <c r="F22">
        <f>IFERROR(F15, "")</f>
        <v/>
      </c>
    </row>
    <row r="23">
      <c r="A23" t="inlineStr">
        <is>
          <t>post_delivery_defect_rate</t>
        </is>
      </c>
      <c r="B23" t="inlineStr">
        <is>
          <t>Post Delivery Defect Rate (%)</t>
        </is>
      </c>
      <c r="C23" t="inlineStr">
        <is>
          <t>PERCENT</t>
        </is>
      </c>
      <c r="D23" t="inlineStr">
        <is>
          <t>Auto</t>
        </is>
      </c>
      <c r="E23" t="inlineStr">
        <is>
          <t>Measures defects reported after delivery completion.</t>
        </is>
      </c>
      <c r="F23">
        <f>IFERROR((F16 / F17) * 100, 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F17" sqref="F17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quality_process</t>
        </is>
      </c>
    </row>
    <row r="2">
      <c r="A2" t="inlineStr">
        <is>
          <t>Goal Name</t>
        </is>
      </c>
      <c r="B2" t="inlineStr">
        <is>
          <t>Quality &amp; Process</t>
        </is>
      </c>
    </row>
    <row r="3">
      <c r="A3" t="inlineStr">
        <is>
          <t>Description</t>
        </is>
      </c>
      <c r="B3" t="inlineStr">
        <is>
          <t>Ensure adherence to defined processes and maintain high quality standards.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qp_rework_count</t>
        </is>
      </c>
      <c r="B7" t="inlineStr">
        <is>
          <t>Deliverables Requiring Rework (Input)</t>
        </is>
      </c>
      <c r="C7" t="inlineStr">
        <is>
          <t>NUMBER</t>
        </is>
      </c>
      <c r="D7" t="inlineStr">
        <is>
          <t>Yes</t>
        </is>
      </c>
      <c r="F7">
        <f>SUM('Raw Delivery Log'!$K$3:$K$39)</f>
        <v/>
      </c>
    </row>
    <row r="8">
      <c r="A8" t="inlineStr">
        <is>
          <t>qp_total_deliverables</t>
        </is>
      </c>
      <c r="B8" t="inlineStr">
        <is>
          <t>Total Deliverables (Input) - Quality</t>
        </is>
      </c>
      <c r="C8" t="inlineStr">
        <is>
          <t>NUMBER</t>
        </is>
      </c>
      <c r="D8" t="inlineStr">
        <is>
          <t>Yes</t>
        </is>
      </c>
      <c r="F8">
        <f>IFERROR('Raw Delivery Log'!B41,"")</f>
        <v/>
      </c>
    </row>
    <row r="9">
      <c r="A9" t="inlineStr">
        <is>
          <t>qp_compliant_deliveries</t>
        </is>
      </c>
      <c r="B9" t="inlineStr">
        <is>
          <t>Process Compliant Deliveries (Input)</t>
        </is>
      </c>
      <c r="C9" t="inlineStr">
        <is>
          <t>NUMBER</t>
        </is>
      </c>
      <c r="D9" t="inlineStr">
        <is>
          <t>Yes</t>
        </is>
      </c>
      <c r="F9">
        <f>IFERROR('Raw Delivery Log'!B42,"")</f>
        <v/>
      </c>
    </row>
    <row r="10">
      <c r="A10" t="inlineStr">
        <is>
          <t>qp_total_deliveries</t>
        </is>
      </c>
      <c r="B10" t="inlineStr">
        <is>
          <t>Total Deliveries (Input) - Process</t>
        </is>
      </c>
      <c r="C10" t="inlineStr">
        <is>
          <t>NUMBER</t>
        </is>
      </c>
      <c r="D10" t="inlineStr">
        <is>
          <t>Yes</t>
        </is>
      </c>
      <c r="F10">
        <f>IFERROR('Raw Delivery Log'!B41,"")</f>
        <v/>
      </c>
    </row>
    <row r="11">
      <c r="A11" t="inlineStr">
        <is>
          <t>qp_formal_changes</t>
        </is>
      </c>
      <c r="B11" t="inlineStr">
        <is>
          <t>Formally Managed Changes (Input)</t>
        </is>
      </c>
      <c r="C11" t="inlineStr">
        <is>
          <t>NUMBER</t>
        </is>
      </c>
      <c r="D11" t="inlineStr">
        <is>
          <t>Yes</t>
        </is>
      </c>
    </row>
    <row r="12">
      <c r="A12" t="inlineStr">
        <is>
          <t>qp_total_changes</t>
        </is>
      </c>
      <c r="B12" t="inlineStr">
        <is>
          <t>Total Changes (Input)</t>
        </is>
      </c>
      <c r="C12" t="inlineStr">
        <is>
          <t>NUMBER</t>
        </is>
      </c>
      <c r="D12" t="inlineStr">
        <is>
          <t>Yes</t>
        </is>
      </c>
    </row>
    <row r="13">
      <c r="A13" t="inlineStr">
        <is>
          <t>qp_automated_projects</t>
        </is>
      </c>
      <c r="B13" t="inlineStr">
        <is>
          <t>Projects Using Automation (Input)</t>
        </is>
      </c>
      <c r="C13" t="inlineStr">
        <is>
          <t>NUMBER</t>
        </is>
      </c>
      <c r="D13" t="inlineStr">
        <is>
          <t>Yes</t>
        </is>
      </c>
    </row>
    <row r="14">
      <c r="A14" t="inlineStr">
        <is>
          <t>qp_total_projects</t>
        </is>
      </c>
      <c r="B14" t="inlineStr">
        <is>
          <t>Total Projects (Input)</t>
        </is>
      </c>
      <c r="C14" t="inlineStr">
        <is>
          <t>NUMBER</t>
        </is>
      </c>
      <c r="D14" t="inlineStr">
        <is>
          <t>Yes</t>
        </is>
      </c>
    </row>
    <row r="15">
      <c r="A15" t="inlineStr">
        <is>
          <t>delivery_error_rework_rate</t>
        </is>
      </c>
      <c r="B15" t="inlineStr">
        <is>
          <t>Delivery Error / Rework Rate (%)</t>
        </is>
      </c>
      <c r="C15" t="inlineStr">
        <is>
          <t>PERCENT</t>
        </is>
      </c>
      <c r="D15" t="inlineStr">
        <is>
          <t>Auto</t>
        </is>
      </c>
      <c r="E15" t="inlineStr">
        <is>
          <t>Measures percentage of deliverables requiring correction or rework.</t>
        </is>
      </c>
      <c r="F15">
        <f>IFERROR((F7 / F8) * 100, "")</f>
        <v/>
      </c>
    </row>
    <row r="16">
      <c r="A16" t="inlineStr">
        <is>
          <t>process_compliance_rate</t>
        </is>
      </c>
      <c r="B16" t="inlineStr">
        <is>
          <t>Process Compliance Rate (%)</t>
        </is>
      </c>
      <c r="C16" t="inlineStr">
        <is>
          <t>PERCENT</t>
        </is>
      </c>
      <c r="D16" t="inlineStr">
        <is>
          <t>Auto</t>
        </is>
      </c>
      <c r="E16" t="inlineStr">
        <is>
          <t>Measures adherence to defined SOPs and delivery processes.</t>
        </is>
      </c>
      <c r="F16">
        <f>IFERROR((F9 / F10) * 100, "")</f>
        <v/>
      </c>
    </row>
    <row r="17">
      <c r="A17" t="inlineStr">
        <is>
          <t>change_management_adherence</t>
        </is>
      </c>
      <c r="B17" t="inlineStr">
        <is>
          <t>Change Management Adherence (%)</t>
        </is>
      </c>
      <c r="C17" t="inlineStr">
        <is>
          <t>PERCENT</t>
        </is>
      </c>
      <c r="D17" t="inlineStr">
        <is>
          <t>Auto</t>
        </is>
      </c>
      <c r="E17" t="inlineStr">
        <is>
          <t>Measures percentage of changes handled using formal change management process.</t>
        </is>
      </c>
      <c r="F17">
        <f>IFERROR((F11 / F12) * 100, "")</f>
        <v/>
      </c>
    </row>
    <row r="18">
      <c r="A18" t="inlineStr">
        <is>
          <t>automation_adoption</t>
        </is>
      </c>
      <c r="B18" t="inlineStr">
        <is>
          <t>Automation Adoption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usage of automation in delivery activities.</t>
        </is>
      </c>
      <c r="F18">
        <f>IFERROR((F13 / F14) * 100, 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value_client</t>
        </is>
      </c>
    </row>
    <row r="2">
      <c r="A2" t="inlineStr">
        <is>
          <t>Goal Name</t>
        </is>
      </c>
      <c r="B2" t="inlineStr">
        <is>
          <t>Value Add &amp; Client Satisfaction</t>
        </is>
      </c>
    </row>
    <row r="3">
      <c r="A3" t="inlineStr">
        <is>
          <t>Description</t>
        </is>
      </c>
      <c r="B3" t="inlineStr">
        <is>
          <t>Deliver additional business value and ensure high client satisfaction.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vc_additional_initiatives</t>
        </is>
      </c>
      <c r="B7" t="inlineStr">
        <is>
          <t>Additional Initiatives Completed (Input)</t>
        </is>
      </c>
      <c r="C7" t="inlineStr">
        <is>
          <t>NUMBER</t>
        </is>
      </c>
      <c r="D7" t="inlineStr">
        <is>
          <t>Yes</t>
        </is>
      </c>
      <c r="F7">
        <f>COUNTIFS('Raw Delivery Log'!$P$3:$P$39,"Value Add")</f>
        <v/>
      </c>
    </row>
    <row r="8">
      <c r="A8" t="inlineStr">
        <is>
          <t>vc_total_score</t>
        </is>
      </c>
      <c r="B8" t="inlineStr">
        <is>
          <t>Total Client Ratings Score (Input)</t>
        </is>
      </c>
      <c r="C8" t="inlineStr">
        <is>
          <t>NUMBER</t>
        </is>
      </c>
      <c r="D8" t="inlineStr">
        <is>
          <t>Yes</t>
        </is>
      </c>
    </row>
    <row r="9">
      <c r="A9" t="inlineStr">
        <is>
          <t>vc_total_responses</t>
        </is>
      </c>
      <c r="B9" t="inlineStr">
        <is>
          <t>Total Client Responses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additional_initiatives_delivered</t>
        </is>
      </c>
      <c r="B10" t="inlineStr">
        <is>
          <t>Additional Initiatives Delivered (Count)</t>
        </is>
      </c>
      <c r="C10" t="inlineStr">
        <is>
          <t>NUMBER</t>
        </is>
      </c>
      <c r="D10" t="inlineStr">
        <is>
          <t>Auto</t>
        </is>
      </c>
      <c r="E10" t="inlineStr">
        <is>
          <t>Measures number of additional value-added initiatives beyond planned delivery.</t>
        </is>
      </c>
      <c r="F10">
        <f>IFERROR(F7, "")</f>
        <v/>
      </c>
    </row>
    <row r="11">
      <c r="A11" t="inlineStr">
        <is>
          <t>csat_score</t>
        </is>
      </c>
      <c r="B11" t="inlineStr">
        <is>
          <t>Client Satisfaction Score (CSAT)</t>
        </is>
      </c>
      <c r="C11" t="inlineStr">
        <is>
          <t>NUMBER</t>
        </is>
      </c>
      <c r="D11" t="inlineStr">
        <is>
          <t>Auto</t>
        </is>
      </c>
      <c r="E11" t="inlineStr">
        <is>
          <t>Measures client satisfaction level based on feedback ratings.</t>
        </is>
      </c>
      <c r="F11">
        <f>IFERROR((F8 / F9),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2026-02-20T07:42:11Z</dcterms:created>
  <dcterms:modified xsi:type="dcterms:W3CDTF">2026-02-23T08:15:32Z</dcterms:modified>
  <cp:lastModifiedBy>Rohan Vikhe</cp:lastModifiedBy>
</cp:coreProperties>
</file>