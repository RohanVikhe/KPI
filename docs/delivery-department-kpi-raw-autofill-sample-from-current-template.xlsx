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Raw Delivery Log" sheetId="2" state="visible" r:id="rId2"/>
    <sheet name="Billability &amp; Utilization" sheetId="3" state="visible" r:id="rId3"/>
    <sheet name="Delivery Excellence" sheetId="4" state="visible" r:id="rId4"/>
    <sheet name="Quality &amp; Process" sheetId="5" state="visible" r:id="rId5"/>
    <sheet name="Value Add &amp; Client Satisfaction" sheetId="6" state="visible" r:id="rId6"/>
    <sheet name="AutoFill Not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dd\-mmm\-yy;@"/>
  </numFmts>
  <fonts count="6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9"/>
      <scheme val="minor"/>
    </font>
    <font>
      <name val="Meiryo"/>
      <charset val="128"/>
      <family val="2"/>
      <color rgb="FF222222"/>
      <sz val="9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1">
      <alignment vertical="center"/>
    </xf>
    <xf numFmtId="15" fontId="4" fillId="2" borderId="1" applyAlignment="1" pivotButton="0" quotePrefix="0" xfId="0">
      <alignment horizontal="center" vertical="center"/>
    </xf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sj.backlog.com/view/TORIDOLL_INTERNAL-564" TargetMode="External" Id="rId1" /><Relationship Type="http://schemas.openxmlformats.org/officeDocument/2006/relationships/hyperlink" Target="https://msj.backlog.com/view/TORIDOLL_INTERNAL-2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9" sqref="B9"/>
    </sheetView>
  </sheetViews>
  <sheetFormatPr baseColWidth="8" defaultRowHeight="15.6"/>
  <cols>
    <col width="28.796875" customWidth="1" min="1" max="1"/>
    <col width="36.796875" customWidth="1" min="2" max="2"/>
    <col width="60.796875" customWidth="1" min="3" max="3"/>
  </cols>
  <sheetData>
    <row r="1">
      <c r="A1" t="inlineStr">
        <is>
          <t>Template</t>
        </is>
      </c>
      <c r="B1" t="inlineStr">
        <is>
          <t>Delivery Department KPI</t>
        </is>
      </c>
    </row>
    <row r="2">
      <c r="A2" t="inlineStr">
        <is>
          <t>Period Start (YYYY-MM-DD)</t>
        </is>
      </c>
      <c r="B2" s="10" t="n">
        <v>46023</v>
      </c>
    </row>
    <row r="3">
      <c r="A3" t="inlineStr">
        <is>
          <t>Period End (YYYY-MM-DD)</t>
        </is>
      </c>
      <c r="B3" s="10" t="n">
        <v>46053</v>
      </c>
    </row>
    <row r="5">
      <c r="A5" t="inlineStr">
        <is>
          <t>Goal Comments</t>
        </is>
      </c>
    </row>
    <row r="6">
      <c r="A6" t="inlineStr">
        <is>
          <t>Goal Key</t>
        </is>
      </c>
      <c r="B6" t="inlineStr">
        <is>
          <t>Goal Name</t>
        </is>
      </c>
      <c r="C6" t="inlineStr">
        <is>
          <t>Comment</t>
        </is>
      </c>
    </row>
    <row r="7">
      <c r="A7" t="inlineStr">
        <is>
          <t>billability_utilization</t>
        </is>
      </c>
      <c r="B7" t="inlineStr">
        <is>
          <t>Billability &amp; Utilization</t>
        </is>
      </c>
    </row>
    <row r="8">
      <c r="A8" t="inlineStr">
        <is>
          <t>delivery_excellence</t>
        </is>
      </c>
      <c r="B8" t="inlineStr">
        <is>
          <t>Delivery Excellence</t>
        </is>
      </c>
    </row>
    <row r="9">
      <c r="A9" t="inlineStr">
        <is>
          <t>quality_process</t>
        </is>
      </c>
      <c r="B9" t="inlineStr">
        <is>
          <t>Quality &amp; Process</t>
        </is>
      </c>
    </row>
    <row r="10">
      <c r="A10" t="inlineStr">
        <is>
          <t>value_client</t>
        </is>
      </c>
      <c r="B10" t="inlineStr">
        <is>
          <t>Value Add &amp; Client Satisfaction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2"/>
  <sheetViews>
    <sheetView topLeftCell="A28" workbookViewId="0">
      <selection activeCell="S7" sqref="S7"/>
    </sheetView>
  </sheetViews>
  <sheetFormatPr baseColWidth="8" defaultRowHeight="15.6"/>
  <cols>
    <col width="8.796875" customWidth="1" min="1" max="1"/>
    <col width="22.796875" customWidth="1" min="2" max="2"/>
    <col width="28.796875" customWidth="1" min="3" max="3"/>
    <col width="34.796875" customWidth="1" min="4" max="4"/>
    <col width="14.796875" customWidth="1" min="5" max="7"/>
    <col width="16.796875" customWidth="1" min="8" max="8"/>
    <col width="22.796875" customWidth="1" min="9" max="9"/>
    <col width="12.796875" customWidth="1" min="10" max="10"/>
    <col width="16.796875" customWidth="1" min="11" max="12"/>
    <col width="24.796875" customWidth="1" min="13" max="13"/>
    <col width="12.796875" customWidth="1" min="14" max="15"/>
    <col width="24.796875" customWidth="1" min="16" max="16"/>
    <col width="22.796875" customWidth="1" min="17" max="17"/>
    <col width="10.796875" customWidth="1" min="18" max="20"/>
    <col width="22" customWidth="1" min="21" max="21"/>
    <col width="26" customWidth="1" min="22" max="22"/>
    <col width="16" customWidth="1" min="23" max="23"/>
    <col width="22" customWidth="1" min="24" max="24"/>
    <col width="24" customWidth="1" min="25" max="25"/>
    <col width="18" customWidth="1" min="26" max="26"/>
    <col width="22" customWidth="1" min="27" max="27"/>
    <col width="12" customWidth="1" min="28" max="28"/>
  </cols>
  <sheetData>
    <row r="1">
      <c r="A1" t="inlineStr">
        <is>
          <t>Month / Period</t>
        </is>
      </c>
    </row>
    <row r="2">
      <c r="A2" t="inlineStr">
        <is>
          <t>Sr No</t>
        </is>
      </c>
      <c r="B2" t="inlineStr">
        <is>
          <t>Ticket/Task ID</t>
        </is>
      </c>
      <c r="C2" t="inlineStr">
        <is>
          <t>Project/Module</t>
        </is>
      </c>
      <c r="D2" t="inlineStr">
        <is>
          <t>Issue Description</t>
        </is>
      </c>
      <c r="E2" t="inlineStr">
        <is>
          <t>Issue Date</t>
        </is>
      </c>
      <c r="F2" t="inlineStr">
        <is>
          <t>Due Date</t>
        </is>
      </c>
      <c r="G2" t="inlineStr">
        <is>
          <t>Delivery Date</t>
        </is>
      </c>
      <c r="H2" t="inlineStr">
        <is>
          <t>Delivered? (Y/N)</t>
        </is>
      </c>
      <c r="I2" t="inlineStr">
        <is>
          <t>Rework Required? (Y/N)</t>
        </is>
      </c>
      <c r="J2" t="inlineStr">
        <is>
          <t>Rework Count</t>
        </is>
      </c>
      <c r="K2" t="inlineStr">
        <is>
          <t>Escalated? (Y/N)</t>
        </is>
      </c>
      <c r="L2" t="inlineStr">
        <is>
          <t>Escalation Level</t>
        </is>
      </c>
      <c r="M2" t="inlineStr">
        <is>
          <t>Post-Delivery Defect? (Y/N)</t>
        </is>
      </c>
      <c r="N2" t="inlineStr">
        <is>
          <t>Defect Count</t>
        </is>
      </c>
      <c r="O2" t="inlineStr">
        <is>
          <t>Type</t>
        </is>
      </c>
      <c r="P2" t="inlineStr">
        <is>
          <t>Root Cause</t>
        </is>
      </c>
      <c r="Q2" t="inlineStr">
        <is>
          <t>Reference Link</t>
        </is>
      </c>
      <c r="R2" t="inlineStr">
        <is>
          <t>FTR Flag</t>
        </is>
      </c>
      <c r="S2" t="inlineStr">
        <is>
          <t>ESC Flag</t>
        </is>
      </c>
      <c r="T2" t="inlineStr">
        <is>
          <t>PDD Flag</t>
        </is>
      </c>
      <c r="U2" t="inlineStr">
        <is>
          <t>Scope Request? (Y/N)</t>
        </is>
      </c>
      <c r="V2" t="inlineStr">
        <is>
          <t>Approved Scope Change? (Y/N)</t>
        </is>
      </c>
      <c r="W2" t="inlineStr">
        <is>
          <t>Milestone? (Y/N)</t>
        </is>
      </c>
      <c r="X2" t="inlineStr">
        <is>
          <t>Milestone On Time? (Y/N)</t>
        </is>
      </c>
      <c r="Y2" t="inlineStr">
        <is>
          <t>Formal Change Logged? (Y/N)</t>
        </is>
      </c>
      <c r="Z2" t="inlineStr">
        <is>
          <t>Automation Used? (Y/N)</t>
        </is>
      </c>
      <c r="AA2" t="inlineStr">
        <is>
          <t>Additional Initiative? (Y/N)</t>
        </is>
      </c>
      <c r="AB2" t="inlineStr">
        <is>
          <t>CSAT Score</t>
        </is>
      </c>
    </row>
    <row r="3">
      <c r="A3" t="n">
        <v>1</v>
      </c>
      <c r="B3" s="1" t="inlineStr">
        <is>
          <t>M0093</t>
        </is>
      </c>
      <c r="C3" s="2" t="inlineStr">
        <is>
          <t>M0093_SharePoint_to_DMP</t>
        </is>
      </c>
      <c r="D3" s="2" t="inlineStr">
        <is>
          <t>File Management Issue</t>
        </is>
      </c>
      <c r="E3" s="3" t="n">
        <v>46051</v>
      </c>
      <c r="F3" s="4" t="n">
        <v>46056</v>
      </c>
      <c r="G3" s="4" t="n">
        <v>46055</v>
      </c>
      <c r="H3" s="5" t="inlineStr">
        <is>
          <t>Y</t>
        </is>
      </c>
      <c r="I3" s="5" t="inlineStr">
        <is>
          <t>N</t>
        </is>
      </c>
      <c r="J3" s="5" t="n">
        <v>0</v>
      </c>
      <c r="K3" s="5" t="inlineStr">
        <is>
          <t>Y</t>
        </is>
      </c>
      <c r="L3" s="5" t="inlineStr">
        <is>
          <t>None</t>
        </is>
      </c>
      <c r="M3" s="5" t="inlineStr">
        <is>
          <t>N</t>
        </is>
      </c>
      <c r="N3" s="5" t="n">
        <v>0</v>
      </c>
      <c r="O3" s="5" t="inlineStr">
        <is>
          <t>Bug</t>
        </is>
      </c>
      <c r="P3" s="6" t="inlineStr">
        <is>
          <t>Incorrect Mappings in RestClient Step</t>
        </is>
      </c>
      <c r="Q3" s="7" t="inlineStr">
        <is>
          <t>M0093</t>
        </is>
      </c>
      <c r="R3">
        <f>IF(AND(H3="Y",I3&lt;&gt;"Y"),1,0)</f>
        <v/>
      </c>
      <c r="S3">
        <f>IF(K3="Y",1,0)</f>
        <v/>
      </c>
      <c r="T3">
        <f>IF(M3="Y",1,0)</f>
        <v/>
      </c>
      <c r="U3">
        <f>IF(I3="Y","Y","N")</f>
        <v/>
      </c>
      <c r="V3">
        <f>IF(U3="Y","Y","N")</f>
        <v/>
      </c>
      <c r="W3">
        <f>IF(H3="Y","Y","N")</f>
        <v/>
      </c>
      <c r="X3">
        <f>IF(AND(W3="Y",G3&lt;=F3),"Y","N")</f>
        <v/>
      </c>
      <c r="Y3">
        <f>IF(U3="Y","Y","N")</f>
        <v/>
      </c>
      <c r="Z3">
        <f>IF(ISNUMBER(SEARCH("autom",LOWER(P3))),"Y","N")</f>
        <v/>
      </c>
      <c r="AA3">
        <f>IF(LOWER(O3)="value add","Y","N")</f>
        <v/>
      </c>
      <c r="AB3">
        <f>IF(AA3="Y",5,"")</f>
        <v/>
      </c>
    </row>
    <row r="4">
      <c r="A4" t="n">
        <v>2</v>
      </c>
      <c r="B4" s="1" t="n">
        <v>564</v>
      </c>
      <c r="C4" s="2" t="inlineStr">
        <is>
          <t>M0098_DMP_to_FoodLink</t>
        </is>
      </c>
      <c r="D4" s="2" t="inlineStr">
        <is>
          <t>Scratch Development</t>
        </is>
      </c>
      <c r="E4" s="3" t="n">
        <v>46045</v>
      </c>
      <c r="F4" s="4" t="n">
        <v>46052</v>
      </c>
      <c r="G4" s="4" t="n">
        <v>46052</v>
      </c>
      <c r="H4" s="5" t="inlineStr">
        <is>
          <t>Y</t>
        </is>
      </c>
      <c r="I4" s="5" t="inlineStr">
        <is>
          <t>Y</t>
        </is>
      </c>
      <c r="J4" s="5" t="n">
        <v>2</v>
      </c>
      <c r="K4" s="5" t="inlineStr">
        <is>
          <t>N</t>
        </is>
      </c>
      <c r="L4" s="5" t="inlineStr">
        <is>
          <t>None</t>
        </is>
      </c>
      <c r="M4" s="5" t="inlineStr">
        <is>
          <t>N</t>
        </is>
      </c>
      <c r="N4" s="5" t="n">
        <v>0</v>
      </c>
      <c r="O4" s="5" t="inlineStr">
        <is>
          <t>Bug</t>
        </is>
      </c>
      <c r="P4" s="6" t="inlineStr">
        <is>
          <t>Requirement Change</t>
        </is>
      </c>
      <c r="Q4" s="8" t="inlineStr">
        <is>
          <t>TORIDOLL_INTERNAL-564</t>
        </is>
      </c>
      <c r="R4">
        <f>IF(AND(H4="Y",I4&lt;&gt;"Y"),1,0)</f>
        <v/>
      </c>
      <c r="S4">
        <f>IF(K4="Y",1,0)</f>
        <v/>
      </c>
      <c r="T4">
        <f>IF(M4="Y",1,0)</f>
        <v/>
      </c>
      <c r="U4">
        <f>IF(I4="Y","Y","N")</f>
        <v/>
      </c>
      <c r="V4">
        <f>IF(U4="Y","Y","N")</f>
        <v/>
      </c>
      <c r="W4">
        <f>IF(H4="Y","Y","N")</f>
        <v/>
      </c>
      <c r="X4">
        <f>IF(AND(W4="Y",G4&lt;=F4),"Y","N")</f>
        <v/>
      </c>
      <c r="Y4">
        <f>IF(U4="Y","Y","N")</f>
        <v/>
      </c>
      <c r="Z4">
        <f>IF(ISNUMBER(SEARCH("autom",LOWER(P4))),"Y","N")</f>
        <v/>
      </c>
      <c r="AA4">
        <f>IF(LOWER(O4)="value add","Y","N")</f>
        <v/>
      </c>
      <c r="AB4">
        <f>IF(AA4="Y",5,"")</f>
        <v/>
      </c>
    </row>
    <row r="5">
      <c r="A5" t="n">
        <v>3</v>
      </c>
      <c r="B5" s="1" t="n">
        <v>261</v>
      </c>
      <c r="C5" s="2" t="inlineStr">
        <is>
          <t>M0025_JNAL_DMPtoBlackLine</t>
        </is>
      </c>
      <c r="D5" s="2" t="inlineStr">
        <is>
          <t>DDL for creating internal TB is not for MySQL</t>
        </is>
      </c>
      <c r="E5" s="4" t="n">
        <v>46057</v>
      </c>
      <c r="F5" s="4" t="n">
        <v>46059</v>
      </c>
      <c r="G5" s="4" t="n">
        <v>46059</v>
      </c>
      <c r="H5" s="5" t="inlineStr">
        <is>
          <t>Y</t>
        </is>
      </c>
      <c r="I5" s="5" t="inlineStr">
        <is>
          <t>N</t>
        </is>
      </c>
      <c r="J5" s="5" t="n">
        <v>0</v>
      </c>
      <c r="K5" s="5" t="inlineStr">
        <is>
          <t>N</t>
        </is>
      </c>
      <c r="L5" s="5" t="inlineStr">
        <is>
          <t>None</t>
        </is>
      </c>
      <c r="M5" s="5" t="inlineStr">
        <is>
          <t>N</t>
        </is>
      </c>
      <c r="N5" s="5" t="n">
        <v>0</v>
      </c>
      <c r="O5" s="5" t="inlineStr">
        <is>
          <t>Bug</t>
        </is>
      </c>
      <c r="P5" s="6" t="inlineStr">
        <is>
          <t>-</t>
        </is>
      </c>
      <c r="Q5" s="8" t="inlineStr">
        <is>
          <t>TORIDOLL_INTERNAL-261</t>
        </is>
      </c>
      <c r="R5">
        <f>IF(AND(H5="Y",I5&lt;&gt;"Y"),1,0)</f>
        <v/>
      </c>
      <c r="S5">
        <f>IF(K5="Y",1,0)</f>
        <v/>
      </c>
      <c r="T5">
        <f>IF(M5="Y",1,0)</f>
        <v/>
      </c>
      <c r="U5">
        <f>IF(I5="Y","Y","N")</f>
        <v/>
      </c>
      <c r="V5">
        <f>IF(U5="Y","Y","N")</f>
        <v/>
      </c>
      <c r="W5">
        <f>IF(H5="Y","Y","N")</f>
        <v/>
      </c>
      <c r="X5">
        <f>IF(AND(W5="Y",G5&lt;=F5),"Y","N")</f>
        <v/>
      </c>
      <c r="Y5">
        <f>IF(U5="Y","Y","N")</f>
        <v/>
      </c>
      <c r="Z5">
        <f>IF(ISNUMBER(SEARCH("autom",LOWER(P5))),"Y","N")</f>
        <v/>
      </c>
      <c r="AA5">
        <f>IF(LOWER(O5)="value add","Y","N")</f>
        <v/>
      </c>
      <c r="AB5">
        <f>IF(AA5="Y",5,"")</f>
        <v/>
      </c>
    </row>
    <row r="6">
      <c r="A6" t="n">
        <v>4</v>
      </c>
      <c r="B6" s="1" t="n">
        <v>641</v>
      </c>
      <c r="C6" s="2" t="inlineStr">
        <is>
          <t>M0025_JNAL_DMPtoBlackLine</t>
        </is>
      </c>
      <c r="D6" s="2" t="inlineStr">
        <is>
          <t>Unable to get S3 in bulk</t>
        </is>
      </c>
      <c r="E6" s="4" t="n">
        <v>46057</v>
      </c>
      <c r="F6" s="4" t="n">
        <v>46059</v>
      </c>
      <c r="G6" s="4" t="n">
        <v>46059</v>
      </c>
      <c r="H6" s="5" t="inlineStr">
        <is>
          <t>Y</t>
        </is>
      </c>
      <c r="I6" s="5" t="inlineStr">
        <is>
          <t>N</t>
        </is>
      </c>
      <c r="J6" s="5" t="n">
        <v>0</v>
      </c>
      <c r="K6" s="5" t="inlineStr">
        <is>
          <t>N</t>
        </is>
      </c>
      <c r="L6" s="5" t="inlineStr">
        <is>
          <t>None</t>
        </is>
      </c>
      <c r="M6" s="5" t="inlineStr">
        <is>
          <t>N</t>
        </is>
      </c>
      <c r="N6" s="5" t="n">
        <v>0</v>
      </c>
      <c r="O6" s="5" t="inlineStr">
        <is>
          <t>Bug</t>
        </is>
      </c>
      <c r="P6" s="6" t="inlineStr">
        <is>
          <t>-</t>
        </is>
      </c>
      <c r="Q6" s="8" t="inlineStr">
        <is>
          <t>TORIDOLL_INTERNAL-641</t>
        </is>
      </c>
      <c r="R6">
        <f>IF(AND(H6="Y",I6&lt;&gt;"Y"),1,0)</f>
        <v/>
      </c>
      <c r="S6">
        <f>IF(K6="Y",1,0)</f>
        <v/>
      </c>
      <c r="T6">
        <f>IF(M6="Y",1,0)</f>
        <v/>
      </c>
      <c r="U6">
        <f>IF(I6="Y","Y","N")</f>
        <v/>
      </c>
      <c r="V6">
        <f>IF(U6="Y","Y","N")</f>
        <v/>
      </c>
      <c r="W6">
        <f>IF(H6="Y","Y","N")</f>
        <v/>
      </c>
      <c r="X6">
        <f>IF(AND(W6="Y",G6&lt;=F6),"Y","N")</f>
        <v/>
      </c>
      <c r="Y6">
        <f>IF(U6="Y","Y","N")</f>
        <v/>
      </c>
      <c r="Z6">
        <f>IF(ISNUMBER(SEARCH("autom",LOWER(P6))),"Y","N")</f>
        <v/>
      </c>
      <c r="AA6">
        <f>IF(LOWER(O6)="value add","Y","N")</f>
        <v/>
      </c>
      <c r="AB6">
        <f>IF(AA6="Y",5,"")</f>
        <v/>
      </c>
    </row>
    <row r="7">
      <c r="A7" t="n">
        <v>5</v>
      </c>
      <c r="B7" s="1" t="n">
        <v>521</v>
      </c>
      <c r="C7" s="6" t="inlineStr">
        <is>
          <t>ngc</t>
        </is>
      </c>
      <c r="D7" s="6" t="n"/>
      <c r="E7" s="3" t="n">
        <v>46057</v>
      </c>
      <c r="F7" s="4" t="n">
        <v>46061</v>
      </c>
      <c r="G7" s="9" t="n">
        <v>46059</v>
      </c>
      <c r="H7" s="5" t="inlineStr">
        <is>
          <t>Y</t>
        </is>
      </c>
      <c r="I7" s="5" t="inlineStr">
        <is>
          <t>N</t>
        </is>
      </c>
      <c r="J7" s="5" t="n">
        <v>0</v>
      </c>
      <c r="K7" s="5" t="inlineStr">
        <is>
          <t>N</t>
        </is>
      </c>
      <c r="L7" s="5" t="inlineStr">
        <is>
          <t>None</t>
        </is>
      </c>
      <c r="M7" s="5" t="inlineStr">
        <is>
          <t>Y</t>
        </is>
      </c>
      <c r="N7" s="5" t="n">
        <v>0</v>
      </c>
      <c r="O7" s="5" t="inlineStr">
        <is>
          <t>Value Add</t>
        </is>
      </c>
      <c r="P7" s="6" t="n"/>
      <c r="Q7" s="6" t="n"/>
      <c r="R7">
        <f>IF(AND(H7="Y",I7&lt;&gt;"Y"),1,0)</f>
        <v/>
      </c>
      <c r="S7">
        <f>IF(K7="Y",1,0)</f>
        <v/>
      </c>
      <c r="T7">
        <f>IF(M7="Y",1,0)</f>
        <v/>
      </c>
      <c r="U7">
        <f>IF(I7="Y","Y","N")</f>
        <v/>
      </c>
      <c r="V7">
        <f>IF(U7="Y","Y","N")</f>
        <v/>
      </c>
      <c r="W7">
        <f>IF(H7="Y","Y","N")</f>
        <v/>
      </c>
      <c r="X7">
        <f>IF(AND(W7="Y",G7&lt;=F7),"Y","N")</f>
        <v/>
      </c>
      <c r="Y7">
        <f>IF(U7="Y","Y","N")</f>
        <v/>
      </c>
      <c r="Z7">
        <f>IF(ISNUMBER(SEARCH("autom",LOWER(P7))),"Y","N")</f>
        <v/>
      </c>
      <c r="AA7">
        <f>IF(LOWER(O7)="value add","Y","N")</f>
        <v/>
      </c>
      <c r="AB7">
        <f>IF(AA7="Y",5,"")</f>
        <v/>
      </c>
    </row>
    <row r="8">
      <c r="A8" t="n">
        <v>6</v>
      </c>
      <c r="R8">
        <f>IF(AND(H8="Y",I8&lt;&gt;"Y"),1,0)</f>
        <v/>
      </c>
      <c r="S8">
        <f>IF(K8="Y",1,0)</f>
        <v/>
      </c>
      <c r="T8">
        <f>IF(M8="Y",1,0)</f>
        <v/>
      </c>
      <c r="U8">
        <f>IF(I8="Y","Y","N")</f>
        <v/>
      </c>
      <c r="V8">
        <f>IF(U8="Y","Y","N")</f>
        <v/>
      </c>
      <c r="W8">
        <f>IF(H8="Y","Y","N")</f>
        <v/>
      </c>
      <c r="X8">
        <f>IF(AND(W8="Y",G8&lt;=F8),"Y","N")</f>
        <v/>
      </c>
      <c r="Y8">
        <f>IF(U8="Y","Y","N")</f>
        <v/>
      </c>
      <c r="Z8">
        <f>IF(ISNUMBER(SEARCH("autom",LOWER(P8))),"Y","N")</f>
        <v/>
      </c>
      <c r="AA8">
        <f>IF(LOWER(O8)="value add","Y","N")</f>
        <v/>
      </c>
      <c r="AB8">
        <f>IF(AA8="Y",5,"")</f>
        <v/>
      </c>
    </row>
    <row r="9">
      <c r="A9" t="n">
        <v>7</v>
      </c>
      <c r="R9">
        <f>IF(AND(H9="Y",I9&lt;&gt;"Y"),1,0)</f>
        <v/>
      </c>
      <c r="S9">
        <f>IF(K9="Y",1,0)</f>
        <v/>
      </c>
      <c r="T9">
        <f>IF(M9="Y",1,0)</f>
        <v/>
      </c>
      <c r="U9">
        <f>IF(I9="Y","Y","N")</f>
        <v/>
      </c>
      <c r="V9">
        <f>IF(U9="Y","Y","N")</f>
        <v/>
      </c>
      <c r="W9">
        <f>IF(H9="Y","Y","N")</f>
        <v/>
      </c>
      <c r="X9">
        <f>IF(AND(W9="Y",G9&lt;=F9),"Y","N")</f>
        <v/>
      </c>
      <c r="Y9">
        <f>IF(U9="Y","Y","N")</f>
        <v/>
      </c>
      <c r="Z9">
        <f>IF(ISNUMBER(SEARCH("autom",LOWER(P9))),"Y","N")</f>
        <v/>
      </c>
      <c r="AA9">
        <f>IF(LOWER(O9)="value add","Y","N")</f>
        <v/>
      </c>
      <c r="AB9">
        <f>IF(AA9="Y",5,"")</f>
        <v/>
      </c>
    </row>
    <row r="10">
      <c r="A10" t="n">
        <v>8</v>
      </c>
      <c r="R10">
        <f>IF(AND(H10="Y",I10&lt;&gt;"Y"),1,0)</f>
        <v/>
      </c>
      <c r="S10">
        <f>IF(K10="Y",1,0)</f>
        <v/>
      </c>
      <c r="T10">
        <f>IF(M10="Y",1,0)</f>
        <v/>
      </c>
      <c r="U10">
        <f>IF(I10="Y","Y","N")</f>
        <v/>
      </c>
      <c r="V10">
        <f>IF(U10="Y","Y","N")</f>
        <v/>
      </c>
      <c r="W10">
        <f>IF(H10="Y","Y","N")</f>
        <v/>
      </c>
      <c r="X10">
        <f>IF(AND(W10="Y",G10&lt;=F10),"Y","N")</f>
        <v/>
      </c>
      <c r="Y10">
        <f>IF(U10="Y","Y","N")</f>
        <v/>
      </c>
      <c r="Z10">
        <f>IF(ISNUMBER(SEARCH("autom",LOWER(P10))),"Y","N")</f>
        <v/>
      </c>
      <c r="AA10">
        <f>IF(LOWER(O10)="value add","Y","N")</f>
        <v/>
      </c>
      <c r="AB10">
        <f>IF(AA10="Y",5,"")</f>
        <v/>
      </c>
    </row>
    <row r="11">
      <c r="A11" t="n">
        <v>9</v>
      </c>
      <c r="R11">
        <f>IF(AND(H11="Y",I11&lt;&gt;"Y"),1,0)</f>
        <v/>
      </c>
      <c r="S11">
        <f>IF(K11="Y",1,0)</f>
        <v/>
      </c>
      <c r="T11">
        <f>IF(M11="Y",1,0)</f>
        <v/>
      </c>
      <c r="U11">
        <f>IF(I11="Y","Y","N")</f>
        <v/>
      </c>
      <c r="V11">
        <f>IF(U11="Y","Y","N")</f>
        <v/>
      </c>
      <c r="W11">
        <f>IF(H11="Y","Y","N")</f>
        <v/>
      </c>
      <c r="X11">
        <f>IF(AND(W11="Y",G11&lt;=F11),"Y","N")</f>
        <v/>
      </c>
      <c r="Y11">
        <f>IF(U11="Y","Y","N")</f>
        <v/>
      </c>
      <c r="Z11">
        <f>IF(ISNUMBER(SEARCH("autom",LOWER(P11))),"Y","N")</f>
        <v/>
      </c>
      <c r="AA11">
        <f>IF(LOWER(O11)="value add","Y","N")</f>
        <v/>
      </c>
      <c r="AB11">
        <f>IF(AA11="Y",5,"")</f>
        <v/>
      </c>
    </row>
    <row r="12">
      <c r="A12" t="n">
        <v>10</v>
      </c>
      <c r="R12">
        <f>IF(AND(H12="Y",I12&lt;&gt;"Y"),1,0)</f>
        <v/>
      </c>
      <c r="S12">
        <f>IF(K12="Y",1,0)</f>
        <v/>
      </c>
      <c r="T12">
        <f>IF(M12="Y",1,0)</f>
        <v/>
      </c>
      <c r="U12">
        <f>IF(I12="Y","Y","N")</f>
        <v/>
      </c>
      <c r="V12">
        <f>IF(U12="Y","Y","N")</f>
        <v/>
      </c>
      <c r="W12">
        <f>IF(H12="Y","Y","N")</f>
        <v/>
      </c>
      <c r="X12">
        <f>IF(AND(W12="Y",G12&lt;=F12),"Y","N")</f>
        <v/>
      </c>
      <c r="Y12">
        <f>IF(U12="Y","Y","N")</f>
        <v/>
      </c>
      <c r="Z12">
        <f>IF(ISNUMBER(SEARCH("autom",LOWER(P12))),"Y","N")</f>
        <v/>
      </c>
      <c r="AA12">
        <f>IF(LOWER(O12)="value add","Y","N")</f>
        <v/>
      </c>
      <c r="AB12">
        <f>IF(AA12="Y",5,"")</f>
        <v/>
      </c>
    </row>
    <row r="13">
      <c r="A13" t="n">
        <v>11</v>
      </c>
      <c r="R13">
        <f>IF(AND(H13="Y",I13&lt;&gt;"Y"),1,0)</f>
        <v/>
      </c>
      <c r="S13">
        <f>IF(K13="Y",1,0)</f>
        <v/>
      </c>
      <c r="T13">
        <f>IF(M13="Y",1,0)</f>
        <v/>
      </c>
      <c r="U13">
        <f>IF(I13="Y","Y","N")</f>
        <v/>
      </c>
      <c r="V13">
        <f>IF(U13="Y","Y","N")</f>
        <v/>
      </c>
      <c r="W13">
        <f>IF(H13="Y","Y","N")</f>
        <v/>
      </c>
      <c r="X13">
        <f>IF(AND(W13="Y",G13&lt;=F13),"Y","N")</f>
        <v/>
      </c>
      <c r="Y13">
        <f>IF(U13="Y","Y","N")</f>
        <v/>
      </c>
      <c r="Z13">
        <f>IF(ISNUMBER(SEARCH("autom",LOWER(P13))),"Y","N")</f>
        <v/>
      </c>
      <c r="AA13">
        <f>IF(LOWER(O13)="value add","Y","N")</f>
        <v/>
      </c>
      <c r="AB13">
        <f>IF(AA13="Y",5,"")</f>
        <v/>
      </c>
    </row>
    <row r="14">
      <c r="A14" t="n">
        <v>12</v>
      </c>
      <c r="R14">
        <f>IF(AND(H14="Y",I14&lt;&gt;"Y"),1,0)</f>
        <v/>
      </c>
      <c r="S14">
        <f>IF(K14="Y",1,0)</f>
        <v/>
      </c>
      <c r="T14">
        <f>IF(M14="Y",1,0)</f>
        <v/>
      </c>
      <c r="U14">
        <f>IF(I14="Y","Y","N")</f>
        <v/>
      </c>
      <c r="V14">
        <f>IF(U14="Y","Y","N")</f>
        <v/>
      </c>
      <c r="W14">
        <f>IF(H14="Y","Y","N")</f>
        <v/>
      </c>
      <c r="X14">
        <f>IF(AND(W14="Y",G14&lt;=F14),"Y","N")</f>
        <v/>
      </c>
      <c r="Y14">
        <f>IF(U14="Y","Y","N")</f>
        <v/>
      </c>
      <c r="Z14">
        <f>IF(ISNUMBER(SEARCH("autom",LOWER(P14))),"Y","N")</f>
        <v/>
      </c>
      <c r="AA14">
        <f>IF(LOWER(O14)="value add","Y","N")</f>
        <v/>
      </c>
      <c r="AB14">
        <f>IF(AA14="Y",5,"")</f>
        <v/>
      </c>
    </row>
    <row r="15">
      <c r="A15" t="n">
        <v>13</v>
      </c>
      <c r="R15">
        <f>IF(AND(H15="Y",I15&lt;&gt;"Y"),1,0)</f>
        <v/>
      </c>
      <c r="S15">
        <f>IF(K15="Y",1,0)</f>
        <v/>
      </c>
      <c r="T15">
        <f>IF(M15="Y",1,0)</f>
        <v/>
      </c>
      <c r="U15">
        <f>IF(I15="Y","Y","N")</f>
        <v/>
      </c>
      <c r="V15">
        <f>IF(U15="Y","Y","N")</f>
        <v/>
      </c>
      <c r="W15">
        <f>IF(H15="Y","Y","N")</f>
        <v/>
      </c>
      <c r="X15">
        <f>IF(AND(W15="Y",G15&lt;=F15),"Y","N")</f>
        <v/>
      </c>
      <c r="Y15">
        <f>IF(U15="Y","Y","N")</f>
        <v/>
      </c>
      <c r="Z15">
        <f>IF(ISNUMBER(SEARCH("autom",LOWER(P15))),"Y","N")</f>
        <v/>
      </c>
      <c r="AA15">
        <f>IF(LOWER(O15)="value add","Y","N")</f>
        <v/>
      </c>
      <c r="AB15">
        <f>IF(AA15="Y",5,"")</f>
        <v/>
      </c>
    </row>
    <row r="16">
      <c r="A16" t="n">
        <v>14</v>
      </c>
      <c r="R16">
        <f>IF(AND(H16="Y",I16&lt;&gt;"Y"),1,0)</f>
        <v/>
      </c>
      <c r="S16">
        <f>IF(K16="Y",1,0)</f>
        <v/>
      </c>
      <c r="T16">
        <f>IF(M16="Y",1,0)</f>
        <v/>
      </c>
      <c r="U16">
        <f>IF(I16="Y","Y","N")</f>
        <v/>
      </c>
      <c r="V16">
        <f>IF(U16="Y","Y","N")</f>
        <v/>
      </c>
      <c r="W16">
        <f>IF(H16="Y","Y","N")</f>
        <v/>
      </c>
      <c r="X16">
        <f>IF(AND(W16="Y",G16&lt;=F16),"Y","N")</f>
        <v/>
      </c>
      <c r="Y16">
        <f>IF(U16="Y","Y","N")</f>
        <v/>
      </c>
      <c r="Z16">
        <f>IF(ISNUMBER(SEARCH("autom",LOWER(P16))),"Y","N")</f>
        <v/>
      </c>
      <c r="AA16">
        <f>IF(LOWER(O16)="value add","Y","N")</f>
        <v/>
      </c>
      <c r="AB16">
        <f>IF(AA16="Y",5,"")</f>
        <v/>
      </c>
    </row>
    <row r="17">
      <c r="A17" t="n">
        <v>15</v>
      </c>
      <c r="R17">
        <f>IF(AND(H17="Y",I17&lt;&gt;"Y"),1,0)</f>
        <v/>
      </c>
      <c r="S17">
        <f>IF(K17="Y",1,0)</f>
        <v/>
      </c>
      <c r="T17">
        <f>IF(M17="Y",1,0)</f>
        <v/>
      </c>
      <c r="U17">
        <f>IF(I17="Y","Y","N")</f>
        <v/>
      </c>
      <c r="V17">
        <f>IF(U17="Y","Y","N")</f>
        <v/>
      </c>
      <c r="W17">
        <f>IF(H17="Y","Y","N")</f>
        <v/>
      </c>
      <c r="X17">
        <f>IF(AND(W17="Y",G17&lt;=F17),"Y","N")</f>
        <v/>
      </c>
      <c r="Y17">
        <f>IF(U17="Y","Y","N")</f>
        <v/>
      </c>
      <c r="Z17">
        <f>IF(ISNUMBER(SEARCH("autom",LOWER(P17))),"Y","N")</f>
        <v/>
      </c>
      <c r="AA17">
        <f>IF(LOWER(O17)="value add","Y","N")</f>
        <v/>
      </c>
      <c r="AB17">
        <f>IF(AA17="Y",5,"")</f>
        <v/>
      </c>
    </row>
    <row r="18">
      <c r="A18" t="n">
        <v>16</v>
      </c>
      <c r="R18">
        <f>IF(AND(H18="Y",I18&lt;&gt;"Y"),1,0)</f>
        <v/>
      </c>
      <c r="S18">
        <f>IF(K18="Y",1,0)</f>
        <v/>
      </c>
      <c r="T18">
        <f>IF(M18="Y",1,0)</f>
        <v/>
      </c>
      <c r="U18">
        <f>IF(I18="Y","Y","N")</f>
        <v/>
      </c>
      <c r="V18">
        <f>IF(U18="Y","Y","N")</f>
        <v/>
      </c>
      <c r="W18">
        <f>IF(H18="Y","Y","N")</f>
        <v/>
      </c>
      <c r="X18">
        <f>IF(AND(W18="Y",G18&lt;=F18),"Y","N")</f>
        <v/>
      </c>
      <c r="Y18">
        <f>IF(U18="Y","Y","N")</f>
        <v/>
      </c>
      <c r="Z18">
        <f>IF(ISNUMBER(SEARCH("autom",LOWER(P18))),"Y","N")</f>
        <v/>
      </c>
      <c r="AA18">
        <f>IF(LOWER(O18)="value add","Y","N")</f>
        <v/>
      </c>
      <c r="AB18">
        <f>IF(AA18="Y",5,"")</f>
        <v/>
      </c>
    </row>
    <row r="19">
      <c r="A19" t="n">
        <v>17</v>
      </c>
      <c r="R19">
        <f>IF(AND(H19="Y",I19&lt;&gt;"Y"),1,0)</f>
        <v/>
      </c>
      <c r="S19">
        <f>IF(K19="Y",1,0)</f>
        <v/>
      </c>
      <c r="T19">
        <f>IF(M19="Y",1,0)</f>
        <v/>
      </c>
      <c r="U19">
        <f>IF(I19="Y","Y","N")</f>
        <v/>
      </c>
      <c r="V19">
        <f>IF(U19="Y","Y","N")</f>
        <v/>
      </c>
      <c r="W19">
        <f>IF(H19="Y","Y","N")</f>
        <v/>
      </c>
      <c r="X19">
        <f>IF(AND(W19="Y",G19&lt;=F19),"Y","N")</f>
        <v/>
      </c>
      <c r="Y19">
        <f>IF(U19="Y","Y","N")</f>
        <v/>
      </c>
      <c r="Z19">
        <f>IF(ISNUMBER(SEARCH("autom",LOWER(P19))),"Y","N")</f>
        <v/>
      </c>
      <c r="AA19">
        <f>IF(LOWER(O19)="value add","Y","N")</f>
        <v/>
      </c>
      <c r="AB19">
        <f>IF(AA19="Y",5,"")</f>
        <v/>
      </c>
    </row>
    <row r="20">
      <c r="A20" t="n">
        <v>18</v>
      </c>
      <c r="R20">
        <f>IF(AND(H20="Y",I20&lt;&gt;"Y"),1,0)</f>
        <v/>
      </c>
      <c r="S20">
        <f>IF(K20="Y",1,0)</f>
        <v/>
      </c>
      <c r="T20">
        <f>IF(M20="Y",1,0)</f>
        <v/>
      </c>
      <c r="U20">
        <f>IF(I20="Y","Y","N")</f>
        <v/>
      </c>
      <c r="V20">
        <f>IF(U20="Y","Y","N")</f>
        <v/>
      </c>
      <c r="W20">
        <f>IF(H20="Y","Y","N")</f>
        <v/>
      </c>
      <c r="X20">
        <f>IF(AND(W20="Y",G20&lt;=F20),"Y","N")</f>
        <v/>
      </c>
      <c r="Y20">
        <f>IF(U20="Y","Y","N")</f>
        <v/>
      </c>
      <c r="Z20">
        <f>IF(ISNUMBER(SEARCH("autom",LOWER(P20))),"Y","N")</f>
        <v/>
      </c>
      <c r="AA20">
        <f>IF(LOWER(O20)="value add","Y","N")</f>
        <v/>
      </c>
      <c r="AB20">
        <f>IF(AA20="Y",5,"")</f>
        <v/>
      </c>
    </row>
    <row r="21">
      <c r="A21" t="n">
        <v>19</v>
      </c>
      <c r="R21">
        <f>IF(AND(H21="Y",I21&lt;&gt;"Y"),1,0)</f>
        <v/>
      </c>
      <c r="S21">
        <f>IF(K21="Y",1,0)</f>
        <v/>
      </c>
      <c r="T21">
        <f>IF(M21="Y",1,0)</f>
        <v/>
      </c>
      <c r="U21">
        <f>IF(I21="Y","Y","N")</f>
        <v/>
      </c>
      <c r="V21">
        <f>IF(U21="Y","Y","N")</f>
        <v/>
      </c>
      <c r="W21">
        <f>IF(H21="Y","Y","N")</f>
        <v/>
      </c>
      <c r="X21">
        <f>IF(AND(W21="Y",G21&lt;=F21),"Y","N")</f>
        <v/>
      </c>
      <c r="Y21">
        <f>IF(U21="Y","Y","N")</f>
        <v/>
      </c>
      <c r="Z21">
        <f>IF(ISNUMBER(SEARCH("autom",LOWER(P21))),"Y","N")</f>
        <v/>
      </c>
      <c r="AA21">
        <f>IF(LOWER(O21)="value add","Y","N")</f>
        <v/>
      </c>
      <c r="AB21">
        <f>IF(AA21="Y",5,"")</f>
        <v/>
      </c>
    </row>
    <row r="22">
      <c r="A22" t="n">
        <v>20</v>
      </c>
      <c r="R22">
        <f>IF(AND(H22="Y",I22&lt;&gt;"Y"),1,0)</f>
        <v/>
      </c>
      <c r="S22">
        <f>IF(K22="Y",1,0)</f>
        <v/>
      </c>
      <c r="T22">
        <f>IF(M22="Y",1,0)</f>
        <v/>
      </c>
      <c r="U22">
        <f>IF(I22="Y","Y","N")</f>
        <v/>
      </c>
      <c r="V22">
        <f>IF(U22="Y","Y","N")</f>
        <v/>
      </c>
      <c r="W22">
        <f>IF(H22="Y","Y","N")</f>
        <v/>
      </c>
      <c r="X22">
        <f>IF(AND(W22="Y",G22&lt;=F22),"Y","N")</f>
        <v/>
      </c>
      <c r="Y22">
        <f>IF(U22="Y","Y","N")</f>
        <v/>
      </c>
      <c r="Z22">
        <f>IF(ISNUMBER(SEARCH("autom",LOWER(P22))),"Y","N")</f>
        <v/>
      </c>
      <c r="AA22">
        <f>IF(LOWER(O22)="value add","Y","N")</f>
        <v/>
      </c>
      <c r="AB22">
        <f>IF(AA22="Y",5,"")</f>
        <v/>
      </c>
    </row>
    <row r="23">
      <c r="A23" t="n">
        <v>21</v>
      </c>
      <c r="R23">
        <f>IF(AND(H23="Y",I23&lt;&gt;"Y"),1,0)</f>
        <v/>
      </c>
      <c r="S23">
        <f>IF(K23="Y",1,0)</f>
        <v/>
      </c>
      <c r="T23">
        <f>IF(M23="Y",1,0)</f>
        <v/>
      </c>
      <c r="U23">
        <f>IF(I23="Y","Y","N")</f>
        <v/>
      </c>
      <c r="V23">
        <f>IF(U23="Y","Y","N")</f>
        <v/>
      </c>
      <c r="W23">
        <f>IF(H23="Y","Y","N")</f>
        <v/>
      </c>
      <c r="X23">
        <f>IF(AND(W23="Y",G23&lt;=F23),"Y","N")</f>
        <v/>
      </c>
      <c r="Y23">
        <f>IF(U23="Y","Y","N")</f>
        <v/>
      </c>
      <c r="Z23">
        <f>IF(ISNUMBER(SEARCH("autom",LOWER(P23))),"Y","N")</f>
        <v/>
      </c>
      <c r="AA23">
        <f>IF(LOWER(O23)="value add","Y","N")</f>
        <v/>
      </c>
      <c r="AB23">
        <f>IF(AA23="Y",5,"")</f>
        <v/>
      </c>
    </row>
    <row r="24">
      <c r="A24" t="n">
        <v>22</v>
      </c>
      <c r="R24">
        <f>IF(AND(H24="Y",I24&lt;&gt;"Y"),1,0)</f>
        <v/>
      </c>
      <c r="S24">
        <f>IF(K24="Y",1,0)</f>
        <v/>
      </c>
      <c r="T24">
        <f>IF(M24="Y",1,0)</f>
        <v/>
      </c>
      <c r="U24">
        <f>IF(I24="Y","Y","N")</f>
        <v/>
      </c>
      <c r="V24">
        <f>IF(U24="Y","Y","N")</f>
        <v/>
      </c>
      <c r="W24">
        <f>IF(H24="Y","Y","N")</f>
        <v/>
      </c>
      <c r="X24">
        <f>IF(AND(W24="Y",G24&lt;=F24),"Y","N")</f>
        <v/>
      </c>
      <c r="Y24">
        <f>IF(U24="Y","Y","N")</f>
        <v/>
      </c>
      <c r="Z24">
        <f>IF(ISNUMBER(SEARCH("autom",LOWER(P24))),"Y","N")</f>
        <v/>
      </c>
      <c r="AA24">
        <f>IF(LOWER(O24)="value add","Y","N")</f>
        <v/>
      </c>
      <c r="AB24">
        <f>IF(AA24="Y",5,"")</f>
        <v/>
      </c>
    </row>
    <row r="25">
      <c r="A25" t="n">
        <v>23</v>
      </c>
      <c r="R25">
        <f>IF(AND(H25="Y",I25&lt;&gt;"Y"),1,0)</f>
        <v/>
      </c>
      <c r="S25">
        <f>IF(K25="Y",1,0)</f>
        <v/>
      </c>
      <c r="T25">
        <f>IF(M25="Y",1,0)</f>
        <v/>
      </c>
      <c r="U25">
        <f>IF(I25="Y","Y","N")</f>
        <v/>
      </c>
      <c r="V25">
        <f>IF(U25="Y","Y","N")</f>
        <v/>
      </c>
      <c r="W25">
        <f>IF(H25="Y","Y","N")</f>
        <v/>
      </c>
      <c r="X25">
        <f>IF(AND(W25="Y",G25&lt;=F25),"Y","N")</f>
        <v/>
      </c>
      <c r="Y25">
        <f>IF(U25="Y","Y","N")</f>
        <v/>
      </c>
      <c r="Z25">
        <f>IF(ISNUMBER(SEARCH("autom",LOWER(P25))),"Y","N")</f>
        <v/>
      </c>
      <c r="AA25">
        <f>IF(LOWER(O25)="value add","Y","N")</f>
        <v/>
      </c>
      <c r="AB25">
        <f>IF(AA25="Y",5,"")</f>
        <v/>
      </c>
    </row>
    <row r="26">
      <c r="A26" t="n">
        <v>24</v>
      </c>
      <c r="R26">
        <f>IF(AND(H26="Y",I26&lt;&gt;"Y"),1,0)</f>
        <v/>
      </c>
      <c r="S26">
        <f>IF(K26="Y",1,0)</f>
        <v/>
      </c>
      <c r="T26">
        <f>IF(M26="Y",1,0)</f>
        <v/>
      </c>
      <c r="U26">
        <f>IF(I26="Y","Y","N")</f>
        <v/>
      </c>
      <c r="V26">
        <f>IF(U26="Y","Y","N")</f>
        <v/>
      </c>
      <c r="W26">
        <f>IF(H26="Y","Y","N")</f>
        <v/>
      </c>
      <c r="X26">
        <f>IF(AND(W26="Y",G26&lt;=F26),"Y","N")</f>
        <v/>
      </c>
      <c r="Y26">
        <f>IF(U26="Y","Y","N")</f>
        <v/>
      </c>
      <c r="Z26">
        <f>IF(ISNUMBER(SEARCH("autom",LOWER(P26))),"Y","N")</f>
        <v/>
      </c>
      <c r="AA26">
        <f>IF(LOWER(O26)="value add","Y","N")</f>
        <v/>
      </c>
      <c r="AB26">
        <f>IF(AA26="Y",5,"")</f>
        <v/>
      </c>
    </row>
    <row r="27">
      <c r="A27" t="n">
        <v>25</v>
      </c>
      <c r="R27">
        <f>IF(AND(H27="Y",I27&lt;&gt;"Y"),1,0)</f>
        <v/>
      </c>
      <c r="S27">
        <f>IF(K27="Y",1,0)</f>
        <v/>
      </c>
      <c r="T27">
        <f>IF(M27="Y",1,0)</f>
        <v/>
      </c>
      <c r="U27">
        <f>IF(I27="Y","Y","N")</f>
        <v/>
      </c>
      <c r="V27">
        <f>IF(U27="Y","Y","N")</f>
        <v/>
      </c>
      <c r="W27">
        <f>IF(H27="Y","Y","N")</f>
        <v/>
      </c>
      <c r="X27">
        <f>IF(AND(W27="Y",G27&lt;=F27),"Y","N")</f>
        <v/>
      </c>
      <c r="Y27">
        <f>IF(U27="Y","Y","N")</f>
        <v/>
      </c>
      <c r="Z27">
        <f>IF(ISNUMBER(SEARCH("autom",LOWER(P27))),"Y","N")</f>
        <v/>
      </c>
      <c r="AA27">
        <f>IF(LOWER(O27)="value add","Y","N")</f>
        <v/>
      </c>
      <c r="AB27">
        <f>IF(AA27="Y",5,"")</f>
        <v/>
      </c>
    </row>
    <row r="28">
      <c r="A28" t="n">
        <v>26</v>
      </c>
      <c r="R28">
        <f>IF(AND(H28="Y",I28&lt;&gt;"Y"),1,0)</f>
        <v/>
      </c>
      <c r="S28">
        <f>IF(K28="Y",1,0)</f>
        <v/>
      </c>
      <c r="T28">
        <f>IF(M28="Y",1,0)</f>
        <v/>
      </c>
      <c r="U28">
        <f>IF(I28="Y","Y","N")</f>
        <v/>
      </c>
      <c r="V28">
        <f>IF(U28="Y","Y","N")</f>
        <v/>
      </c>
      <c r="W28">
        <f>IF(H28="Y","Y","N")</f>
        <v/>
      </c>
      <c r="X28">
        <f>IF(AND(W28="Y",G28&lt;=F28),"Y","N")</f>
        <v/>
      </c>
      <c r="Y28">
        <f>IF(U28="Y","Y","N")</f>
        <v/>
      </c>
      <c r="Z28">
        <f>IF(ISNUMBER(SEARCH("autom",LOWER(P28))),"Y","N")</f>
        <v/>
      </c>
      <c r="AA28">
        <f>IF(LOWER(O28)="value add","Y","N")</f>
        <v/>
      </c>
      <c r="AB28">
        <f>IF(AA28="Y",5,"")</f>
        <v/>
      </c>
    </row>
    <row r="29">
      <c r="A29" t="n">
        <v>27</v>
      </c>
      <c r="R29">
        <f>IF(AND(H29="Y",I29&lt;&gt;"Y"),1,0)</f>
        <v/>
      </c>
      <c r="S29">
        <f>IF(K29="Y",1,0)</f>
        <v/>
      </c>
      <c r="T29">
        <f>IF(M29="Y",1,0)</f>
        <v/>
      </c>
      <c r="U29">
        <f>IF(I29="Y","Y","N")</f>
        <v/>
      </c>
      <c r="V29">
        <f>IF(U29="Y","Y","N")</f>
        <v/>
      </c>
      <c r="W29">
        <f>IF(H29="Y","Y","N")</f>
        <v/>
      </c>
      <c r="X29">
        <f>IF(AND(W29="Y",G29&lt;=F29),"Y","N")</f>
        <v/>
      </c>
      <c r="Y29">
        <f>IF(U29="Y","Y","N")</f>
        <v/>
      </c>
      <c r="Z29">
        <f>IF(ISNUMBER(SEARCH("autom",LOWER(P29))),"Y","N")</f>
        <v/>
      </c>
      <c r="AA29">
        <f>IF(LOWER(O29)="value add","Y","N")</f>
        <v/>
      </c>
      <c r="AB29">
        <f>IF(AA29="Y",5,"")</f>
        <v/>
      </c>
    </row>
    <row r="30">
      <c r="A30" t="n">
        <v>28</v>
      </c>
      <c r="R30">
        <f>IF(AND(H30="Y",I30&lt;&gt;"Y"),1,0)</f>
        <v/>
      </c>
      <c r="S30">
        <f>IF(K30="Y",1,0)</f>
        <v/>
      </c>
      <c r="T30">
        <f>IF(M30="Y",1,0)</f>
        <v/>
      </c>
      <c r="U30">
        <f>IF(I30="Y","Y","N")</f>
        <v/>
      </c>
      <c r="V30">
        <f>IF(U30="Y","Y","N")</f>
        <v/>
      </c>
      <c r="W30">
        <f>IF(H30="Y","Y","N")</f>
        <v/>
      </c>
      <c r="X30">
        <f>IF(AND(W30="Y",G30&lt;=F30),"Y","N")</f>
        <v/>
      </c>
      <c r="Y30">
        <f>IF(U30="Y","Y","N")</f>
        <v/>
      </c>
      <c r="Z30">
        <f>IF(ISNUMBER(SEARCH("autom",LOWER(P30))),"Y","N")</f>
        <v/>
      </c>
      <c r="AA30">
        <f>IF(LOWER(O30)="value add","Y","N")</f>
        <v/>
      </c>
      <c r="AB30">
        <f>IF(AA30="Y",5,"")</f>
        <v/>
      </c>
    </row>
    <row r="31">
      <c r="A31" t="n">
        <v>29</v>
      </c>
      <c r="R31">
        <f>IF(AND(H31="Y",I31&lt;&gt;"Y"),1,0)</f>
        <v/>
      </c>
      <c r="S31">
        <f>IF(K31="Y",1,0)</f>
        <v/>
      </c>
      <c r="T31">
        <f>IF(M31="Y",1,0)</f>
        <v/>
      </c>
      <c r="U31">
        <f>IF(I31="Y","Y","N")</f>
        <v/>
      </c>
      <c r="V31">
        <f>IF(U31="Y","Y","N")</f>
        <v/>
      </c>
      <c r="W31">
        <f>IF(H31="Y","Y","N")</f>
        <v/>
      </c>
      <c r="X31">
        <f>IF(AND(W31="Y",G31&lt;=F31),"Y","N")</f>
        <v/>
      </c>
      <c r="Y31">
        <f>IF(U31="Y","Y","N")</f>
        <v/>
      </c>
      <c r="Z31">
        <f>IF(ISNUMBER(SEARCH("autom",LOWER(P31))),"Y","N")</f>
        <v/>
      </c>
      <c r="AA31">
        <f>IF(LOWER(O31)="value add","Y","N")</f>
        <v/>
      </c>
      <c r="AB31">
        <f>IF(AA31="Y",5,"")</f>
        <v/>
      </c>
    </row>
    <row r="32">
      <c r="A32" t="n">
        <v>30</v>
      </c>
      <c r="R32">
        <f>IF(AND(H32="Y",I32&lt;&gt;"Y"),1,0)</f>
        <v/>
      </c>
      <c r="S32">
        <f>IF(K32="Y",1,0)</f>
        <v/>
      </c>
      <c r="T32">
        <f>IF(M32="Y",1,0)</f>
        <v/>
      </c>
      <c r="U32">
        <f>IF(I32="Y","Y","N")</f>
        <v/>
      </c>
      <c r="V32">
        <f>IF(U32="Y","Y","N")</f>
        <v/>
      </c>
      <c r="W32">
        <f>IF(H32="Y","Y","N")</f>
        <v/>
      </c>
      <c r="X32">
        <f>IF(AND(W32="Y",G32&lt;=F32),"Y","N")</f>
        <v/>
      </c>
      <c r="Y32">
        <f>IF(U32="Y","Y","N")</f>
        <v/>
      </c>
      <c r="Z32">
        <f>IF(ISNUMBER(SEARCH("autom",LOWER(P32))),"Y","N")</f>
        <v/>
      </c>
      <c r="AA32">
        <f>IF(LOWER(O32)="value add","Y","N")</f>
        <v/>
      </c>
      <c r="AB32">
        <f>IF(AA32="Y",5,"")</f>
        <v/>
      </c>
    </row>
    <row r="33">
      <c r="A33" t="n">
        <v>31</v>
      </c>
      <c r="R33">
        <f>IF(AND(H33="Y",I33&lt;&gt;"Y"),1,0)</f>
        <v/>
      </c>
      <c r="S33">
        <f>IF(K33="Y",1,0)</f>
        <v/>
      </c>
      <c r="T33">
        <f>IF(M33="Y",1,0)</f>
        <v/>
      </c>
      <c r="U33">
        <f>IF(I33="Y","Y","N")</f>
        <v/>
      </c>
      <c r="V33">
        <f>IF(U33="Y","Y","N")</f>
        <v/>
      </c>
      <c r="W33">
        <f>IF(H33="Y","Y","N")</f>
        <v/>
      </c>
      <c r="X33">
        <f>IF(AND(W33="Y",G33&lt;=F33),"Y","N")</f>
        <v/>
      </c>
      <c r="Y33">
        <f>IF(U33="Y","Y","N")</f>
        <v/>
      </c>
      <c r="Z33">
        <f>IF(ISNUMBER(SEARCH("autom",LOWER(P33))),"Y","N")</f>
        <v/>
      </c>
      <c r="AA33">
        <f>IF(LOWER(O33)="value add","Y","N")</f>
        <v/>
      </c>
      <c r="AB33">
        <f>IF(AA33="Y",5,"")</f>
        <v/>
      </c>
    </row>
    <row r="34">
      <c r="A34" t="n">
        <v>32</v>
      </c>
      <c r="R34">
        <f>IF(AND(H34="Y",I34&lt;&gt;"Y"),1,0)</f>
        <v/>
      </c>
      <c r="S34">
        <f>IF(K34="Y",1,0)</f>
        <v/>
      </c>
      <c r="T34">
        <f>IF(M34="Y",1,0)</f>
        <v/>
      </c>
      <c r="U34">
        <f>IF(I34="Y","Y","N")</f>
        <v/>
      </c>
      <c r="V34">
        <f>IF(U34="Y","Y","N")</f>
        <v/>
      </c>
      <c r="W34">
        <f>IF(H34="Y","Y","N")</f>
        <v/>
      </c>
      <c r="X34">
        <f>IF(AND(W34="Y",G34&lt;=F34),"Y","N")</f>
        <v/>
      </c>
      <c r="Y34">
        <f>IF(U34="Y","Y","N")</f>
        <v/>
      </c>
      <c r="Z34">
        <f>IF(ISNUMBER(SEARCH("autom",LOWER(P34))),"Y","N")</f>
        <v/>
      </c>
      <c r="AA34">
        <f>IF(LOWER(O34)="value add","Y","N")</f>
        <v/>
      </c>
      <c r="AB34">
        <f>IF(AA34="Y",5,"")</f>
        <v/>
      </c>
    </row>
    <row r="35">
      <c r="A35" t="n">
        <v>33</v>
      </c>
      <c r="R35">
        <f>IF(AND(H35="Y",I35&lt;&gt;"Y"),1,0)</f>
        <v/>
      </c>
      <c r="S35">
        <f>IF(K35="Y",1,0)</f>
        <v/>
      </c>
      <c r="T35">
        <f>IF(M35="Y",1,0)</f>
        <v/>
      </c>
      <c r="U35">
        <f>IF(I35="Y","Y","N")</f>
        <v/>
      </c>
      <c r="V35">
        <f>IF(U35="Y","Y","N")</f>
        <v/>
      </c>
      <c r="W35">
        <f>IF(H35="Y","Y","N")</f>
        <v/>
      </c>
      <c r="X35">
        <f>IF(AND(W35="Y",G35&lt;=F35),"Y","N")</f>
        <v/>
      </c>
      <c r="Y35">
        <f>IF(U35="Y","Y","N")</f>
        <v/>
      </c>
      <c r="Z35">
        <f>IF(ISNUMBER(SEARCH("autom",LOWER(P35))),"Y","N")</f>
        <v/>
      </c>
      <c r="AA35">
        <f>IF(LOWER(O35)="value add","Y","N")</f>
        <v/>
      </c>
      <c r="AB35">
        <f>IF(AA35="Y",5,"")</f>
        <v/>
      </c>
    </row>
    <row r="36">
      <c r="A36" t="n">
        <v>34</v>
      </c>
      <c r="R36">
        <f>IF(AND(H36="Y",I36&lt;&gt;"Y"),1,0)</f>
        <v/>
      </c>
      <c r="S36">
        <f>IF(K36="Y",1,0)</f>
        <v/>
      </c>
      <c r="T36">
        <f>IF(M36="Y",1,0)</f>
        <v/>
      </c>
      <c r="U36">
        <f>IF(I36="Y","Y","N")</f>
        <v/>
      </c>
      <c r="V36">
        <f>IF(U36="Y","Y","N")</f>
        <v/>
      </c>
      <c r="W36">
        <f>IF(H36="Y","Y","N")</f>
        <v/>
      </c>
      <c r="X36">
        <f>IF(AND(W36="Y",G36&lt;=F36),"Y","N")</f>
        <v/>
      </c>
      <c r="Y36">
        <f>IF(U36="Y","Y","N")</f>
        <v/>
      </c>
      <c r="Z36">
        <f>IF(ISNUMBER(SEARCH("autom",LOWER(P36))),"Y","N")</f>
        <v/>
      </c>
      <c r="AA36">
        <f>IF(LOWER(O36)="value add","Y","N")</f>
        <v/>
      </c>
      <c r="AB36">
        <f>IF(AA36="Y",5,"")</f>
        <v/>
      </c>
    </row>
    <row r="37">
      <c r="A37" t="n">
        <v>35</v>
      </c>
      <c r="R37">
        <f>IF(AND(H37="Y",I37&lt;&gt;"Y"),1,0)</f>
        <v/>
      </c>
      <c r="S37">
        <f>IF(K37="Y",1,0)</f>
        <v/>
      </c>
      <c r="T37">
        <f>IF(M37="Y",1,0)</f>
        <v/>
      </c>
      <c r="U37">
        <f>IF(I37="Y","Y","N")</f>
        <v/>
      </c>
      <c r="V37">
        <f>IF(U37="Y","Y","N")</f>
        <v/>
      </c>
      <c r="W37">
        <f>IF(H37="Y","Y","N")</f>
        <v/>
      </c>
      <c r="X37">
        <f>IF(AND(W37="Y",G37&lt;=F37),"Y","N")</f>
        <v/>
      </c>
      <c r="Y37">
        <f>IF(U37="Y","Y","N")</f>
        <v/>
      </c>
      <c r="Z37">
        <f>IF(ISNUMBER(SEARCH("autom",LOWER(P37))),"Y","N")</f>
        <v/>
      </c>
      <c r="AA37">
        <f>IF(LOWER(O37)="value add","Y","N")</f>
        <v/>
      </c>
      <c r="AB37">
        <f>IF(AA37="Y",5,"")</f>
        <v/>
      </c>
    </row>
    <row r="38">
      <c r="A38" t="n">
        <v>36</v>
      </c>
      <c r="R38">
        <f>IF(AND(H38="Y",I38&lt;&gt;"Y"),1,0)</f>
        <v/>
      </c>
      <c r="S38">
        <f>IF(K38="Y",1,0)</f>
        <v/>
      </c>
      <c r="T38">
        <f>IF(M38="Y",1,0)</f>
        <v/>
      </c>
      <c r="U38">
        <f>IF(I38="Y","Y","N")</f>
        <v/>
      </c>
      <c r="V38">
        <f>IF(U38="Y","Y","N")</f>
        <v/>
      </c>
      <c r="W38">
        <f>IF(H38="Y","Y","N")</f>
        <v/>
      </c>
      <c r="X38">
        <f>IF(AND(W38="Y",G38&lt;=F38),"Y","N")</f>
        <v/>
      </c>
      <c r="Y38">
        <f>IF(U38="Y","Y","N")</f>
        <v/>
      </c>
      <c r="Z38">
        <f>IF(ISNUMBER(SEARCH("autom",LOWER(P38))),"Y","N")</f>
        <v/>
      </c>
      <c r="AA38">
        <f>IF(LOWER(O38)="value add","Y","N")</f>
        <v/>
      </c>
      <c r="AB38">
        <f>IF(AA38="Y",5,"")</f>
        <v/>
      </c>
    </row>
    <row r="39">
      <c r="A39" t="n">
        <v>37</v>
      </c>
      <c r="R39">
        <f>IF(AND(H39="Y",I39&lt;&gt;"Y"),1,0)</f>
        <v/>
      </c>
      <c r="S39">
        <f>IF(K39="Y",1,0)</f>
        <v/>
      </c>
      <c r="T39">
        <f>IF(M39="Y",1,0)</f>
        <v/>
      </c>
      <c r="U39">
        <f>IF(I39="Y","Y","N")</f>
        <v/>
      </c>
      <c r="V39">
        <f>IF(U39="Y","Y","N")</f>
        <v/>
      </c>
      <c r="W39">
        <f>IF(H39="Y","Y","N")</f>
        <v/>
      </c>
      <c r="X39">
        <f>IF(AND(W39="Y",G39&lt;=F39),"Y","N")</f>
        <v/>
      </c>
      <c r="Y39">
        <f>IF(U39="Y","Y","N")</f>
        <v/>
      </c>
      <c r="Z39">
        <f>IF(ISNUMBER(SEARCH("autom",LOWER(P39))),"Y","N")</f>
        <v/>
      </c>
      <c r="AA39">
        <f>IF(LOWER(O39)="value add","Y","N")</f>
        <v/>
      </c>
      <c r="AB39">
        <f>IF(AA39="Y",5,"")</f>
        <v/>
      </c>
    </row>
    <row r="41">
      <c r="A41" t="inlineStr">
        <is>
          <t>Total Delivered (Y)</t>
        </is>
      </c>
      <c r="B41">
        <f>COUNTIFS(H3:H39,"Y")</f>
        <v/>
      </c>
      <c r="C41" t="inlineStr">
        <is>
          <t>Count</t>
        </is>
      </c>
    </row>
    <row r="42">
      <c r="A42" t="inlineStr">
        <is>
          <t>First Time Right Count</t>
        </is>
      </c>
      <c r="B42">
        <f>SUM(R3:R39)</f>
        <v/>
      </c>
      <c r="C42" t="inlineStr">
        <is>
          <t>Count</t>
        </is>
      </c>
    </row>
    <row r="43">
      <c r="A43" t="inlineStr">
        <is>
          <t>Escalation Count</t>
        </is>
      </c>
      <c r="B43">
        <f>COUNTIFS(K3:K39,"Y")</f>
        <v/>
      </c>
      <c r="C43" t="inlineStr">
        <is>
          <t>Count</t>
        </is>
      </c>
    </row>
    <row r="44">
      <c r="A44" t="inlineStr">
        <is>
          <t>Post-Delivery Defect Count</t>
        </is>
      </c>
      <c r="B44">
        <f>COUNTIFS(M3:M39,"Y")</f>
        <v/>
      </c>
      <c r="C44" t="inlineStr">
        <is>
          <t>Count</t>
        </is>
      </c>
    </row>
    <row r="45">
      <c r="A45" t="inlineStr">
        <is>
          <t>First Time Right (%)</t>
        </is>
      </c>
      <c r="B45">
        <f>IF(B41=0,0,ROUND((B42/B41)*100,2))</f>
        <v/>
      </c>
      <c r="C45" t="inlineStr">
        <is>
          <t>%</t>
        </is>
      </c>
    </row>
    <row r="46">
      <c r="A46" t="inlineStr">
        <is>
          <t>Escalation Rate (%)</t>
        </is>
      </c>
      <c r="B46">
        <f>IF(B41=0,0,ROUND((B43/B41)*100,2))</f>
        <v/>
      </c>
      <c r="C46" t="inlineStr">
        <is>
          <t>%</t>
        </is>
      </c>
    </row>
    <row r="47">
      <c r="A47" t="inlineStr">
        <is>
          <t>Post-Delivery Defect Rate (%)</t>
        </is>
      </c>
      <c r="B47">
        <f>IF(B41=0,0,ROUND((B44/B41)*100,2))</f>
        <v/>
      </c>
      <c r="C47" t="inlineStr">
        <is>
          <t>%</t>
        </is>
      </c>
    </row>
    <row r="48">
      <c r="A48" t="inlineStr">
        <is>
          <t>Total Scope Requests (Proxy)</t>
        </is>
      </c>
      <c r="B48">
        <f>COUNTIFS(U3:U39,"Y")</f>
        <v/>
      </c>
      <c r="C48" t="inlineStr">
        <is>
          <t>Count</t>
        </is>
      </c>
    </row>
    <row r="49">
      <c r="A49" t="inlineStr">
        <is>
          <t>Approved Scope Changes (Proxy)</t>
        </is>
      </c>
      <c r="B49">
        <f>COUNTIFS(V3:V39,"Y")</f>
        <v/>
      </c>
      <c r="C49" t="inlineStr">
        <is>
          <t>Count</t>
        </is>
      </c>
    </row>
    <row r="50">
      <c r="A50" t="inlineStr">
        <is>
          <t>Total Milestones (Proxy)</t>
        </is>
      </c>
      <c r="B50">
        <f>COUNTIFS(W3:W39,"Y")</f>
        <v/>
      </c>
      <c r="C50" t="inlineStr">
        <is>
          <t>Count</t>
        </is>
      </c>
    </row>
    <row r="51">
      <c r="A51" t="inlineStr">
        <is>
          <t>Milestones On-Time (Proxy)</t>
        </is>
      </c>
      <c r="B51">
        <f>COUNTIFS(X3:X39,"Y")</f>
        <v/>
      </c>
      <c r="C51" t="inlineStr">
        <is>
          <t>Count</t>
        </is>
      </c>
    </row>
    <row r="52">
      <c r="A52" t="inlineStr">
        <is>
          <t>Total Projects Delivered</t>
        </is>
      </c>
      <c r="B52">
        <f>COUNTIFS(H3:H39,"Y")</f>
        <v/>
      </c>
      <c r="C52" t="inlineStr">
        <is>
          <t>Count</t>
        </is>
      </c>
    </row>
    <row r="53">
      <c r="A53" t="inlineStr">
        <is>
          <t>Projects On-Time/Budget</t>
        </is>
      </c>
      <c r="B53">
        <f>COUNTIFS(H3:H39,"Y",G3:G39,"&lt;="&amp;F3:F39)</f>
        <v/>
      </c>
      <c r="C53" t="inlineStr">
        <is>
          <t>Count</t>
        </is>
      </c>
    </row>
    <row r="54">
      <c r="A54" t="inlineStr">
        <is>
          <t>Rework Count</t>
        </is>
      </c>
      <c r="B54">
        <f>SUM(J3:J39)</f>
        <v/>
      </c>
      <c r="C54" t="inlineStr">
        <is>
          <t>Count</t>
        </is>
      </c>
    </row>
    <row r="55">
      <c r="A55" t="inlineStr">
        <is>
          <t>Formal Changes (Proxy)</t>
        </is>
      </c>
      <c r="B55">
        <f>COUNTIFS(Y3:Y39,"Y")</f>
        <v/>
      </c>
      <c r="C55" t="inlineStr">
        <is>
          <t>Count</t>
        </is>
      </c>
    </row>
    <row r="56">
      <c r="A56" t="inlineStr">
        <is>
          <t>Total Changes (Proxy)</t>
        </is>
      </c>
      <c r="B56">
        <f>B48</f>
        <v/>
      </c>
      <c r="C56" t="inlineStr">
        <is>
          <t>Count</t>
        </is>
      </c>
    </row>
    <row r="57">
      <c r="A57" t="inlineStr">
        <is>
          <t>Total Projects (Row Count)</t>
        </is>
      </c>
      <c r="B57">
        <f>COUNTIFS(C3:C39,"&lt;&gt;")</f>
        <v/>
      </c>
      <c r="C57" t="inlineStr">
        <is>
          <t>Count</t>
        </is>
      </c>
    </row>
    <row r="58">
      <c r="A58" t="inlineStr">
        <is>
          <t>Automated Projects (Proxy)</t>
        </is>
      </c>
      <c r="B58">
        <f>COUNTIFS(Z3:Z39,"Y")</f>
        <v/>
      </c>
      <c r="C58" t="inlineStr">
        <is>
          <t>Count</t>
        </is>
      </c>
    </row>
    <row r="59">
      <c r="A59" t="inlineStr">
        <is>
          <t>Additional Initiatives</t>
        </is>
      </c>
      <c r="B59">
        <f>COUNTIFS(AA3:AA39,"Y")</f>
        <v/>
      </c>
      <c r="C59" t="inlineStr">
        <is>
          <t>Count</t>
        </is>
      </c>
    </row>
    <row r="60">
      <c r="A60" t="inlineStr">
        <is>
          <t>CSAT Total Score (Proxy)</t>
        </is>
      </c>
      <c r="B60">
        <f>SUM(AB3:AB39)</f>
        <v/>
      </c>
      <c r="C60" t="inlineStr">
        <is>
          <t>Score</t>
        </is>
      </c>
    </row>
    <row r="61">
      <c r="A61" t="inlineStr">
        <is>
          <t>CSAT Total Responses (Proxy)</t>
        </is>
      </c>
      <c r="B61">
        <f>COUNT(AB3:AB39)</f>
        <v/>
      </c>
      <c r="C61" t="inlineStr">
        <is>
          <t>Count</t>
        </is>
      </c>
    </row>
    <row r="62">
      <c r="A62" t="inlineStr">
        <is>
          <t>Compliant Deliveries (Proxy FTR)</t>
        </is>
      </c>
      <c r="B62">
        <f>B42</f>
        <v/>
      </c>
      <c r="C62" t="inlineStr">
        <is>
          <t>Count</t>
        </is>
      </c>
    </row>
  </sheetData>
  <dataValidations count="2">
    <dataValidation sqref="I3:J39 L3:L39 N3:N39" showDropDown="0" showInputMessage="0" showErrorMessage="0" allowBlank="1" errorTitle="Invalid value" error="Select Y or N." promptTitle="Y/N" prompt="Choose Y or N from dropdown." type="list">
      <formula1>"Y,N"</formula1>
    </dataValidation>
    <dataValidation sqref="P3:P39" showDropDown="0" showInputMessage="0" showErrorMessage="0" allowBlank="1" errorTitle="Invalid value" error="Choose a valid Type value from dropdown." promptTitle="Type" prompt="Choose delivery item type." type="list">
      <formula1>"Value Add,Bug,Story,Training,Knowledge Sharing"</formula1>
    </dataValidation>
  </dataValidations>
  <hyperlinks>
    <hyperlink xmlns:r="http://schemas.openxmlformats.org/officeDocument/2006/relationships" ref="Q4" display="https://msj.backlog.com/view/TORIDOLL_INTERNAL-564" r:id="rId1"/>
    <hyperlink xmlns:r="http://schemas.openxmlformats.org/officeDocument/2006/relationships" ref="Q5" display="https://msj.backlog.com/view/TORIDOLL_INTERNAL-26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billability_utilization</t>
        </is>
      </c>
    </row>
    <row r="2">
      <c r="A2" t="inlineStr">
        <is>
          <t>Goal Name</t>
        </is>
      </c>
      <c r="B2" t="inlineStr">
        <is>
          <t>Billability &amp; Utilization</t>
        </is>
      </c>
    </row>
    <row r="3">
      <c r="A3" t="inlineStr">
        <is>
          <t>Description</t>
        </is>
      </c>
      <c r="B3" t="inlineStr">
        <is>
          <t>Ensure optimal utilization of delivery resources and maximize billable contribution.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bu_billable_hours</t>
        </is>
      </c>
      <c r="B7" t="inlineStr">
        <is>
          <t>Billable Hours (Input)</t>
        </is>
      </c>
      <c r="C7" t="inlineStr">
        <is>
          <t>NUMBER</t>
        </is>
      </c>
      <c r="D7" t="inlineStr">
        <is>
          <t>Yes</t>
        </is>
      </c>
      <c r="F7" t="n">
        <v>8</v>
      </c>
    </row>
    <row r="8">
      <c r="A8" t="inlineStr">
        <is>
          <t>bu_available_hours</t>
        </is>
      </c>
      <c r="B8" t="inlineStr">
        <is>
          <t>Available Hours (Input)</t>
        </is>
      </c>
      <c r="C8" t="inlineStr">
        <is>
          <t>NUMBER</t>
        </is>
      </c>
      <c r="D8" t="inlineStr">
        <is>
          <t>Yes</t>
        </is>
      </c>
      <c r="F8" t="n">
        <v>50</v>
      </c>
    </row>
    <row r="9">
      <c r="A9" t="inlineStr">
        <is>
          <t>bu_total_working_hours</t>
        </is>
      </c>
      <c r="B9" t="inlineStr">
        <is>
          <t>Total Working Hours (Input)</t>
        </is>
      </c>
      <c r="C9" t="inlineStr">
        <is>
          <t>NUMBER</t>
        </is>
      </c>
      <c r="D9" t="inlineStr">
        <is>
          <t>Yes</t>
        </is>
      </c>
      <c r="F9" t="n">
        <v>120</v>
      </c>
    </row>
    <row r="10">
      <c r="A10" t="inlineStr">
        <is>
          <t>utilization_rate</t>
        </is>
      </c>
      <c r="B10" t="inlineStr">
        <is>
          <t>Utilization Rate (%)</t>
        </is>
      </c>
      <c r="C10" t="inlineStr">
        <is>
          <t>PERCENT</t>
        </is>
      </c>
      <c r="D10" t="inlineStr">
        <is>
          <t>Auto</t>
        </is>
      </c>
      <c r="E10" t="inlineStr">
        <is>
          <t>Measures the percentage of available working hours that are spent on billable activities.</t>
        </is>
      </c>
      <c r="F10">
        <f>IFERROR((F7 / F8) * 100, "")</f>
        <v/>
      </c>
    </row>
    <row r="11">
      <c r="A11" t="inlineStr">
        <is>
          <t>billability_rate</t>
        </is>
      </c>
      <c r="B11" t="inlineStr">
        <is>
          <t>Billability Rate (%)</t>
        </is>
      </c>
      <c r="C11" t="inlineStr">
        <is>
          <t>PERCENT</t>
        </is>
      </c>
      <c r="D11" t="inlineStr">
        <is>
          <t>Auto</t>
        </is>
      </c>
      <c r="E11" t="inlineStr">
        <is>
          <t>Measures percentage of total working time that is billable to clients.</t>
        </is>
      </c>
      <c r="F11">
        <f>IFERROR((F7 / F9) * 100,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F15" sqref="F15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delivery_excellence</t>
        </is>
      </c>
    </row>
    <row r="2">
      <c r="A2" t="inlineStr">
        <is>
          <t>Goal Name</t>
        </is>
      </c>
      <c r="B2" t="inlineStr">
        <is>
          <t>Delivery Excellence</t>
        </is>
      </c>
    </row>
    <row r="3">
      <c r="A3" t="inlineStr">
        <is>
          <t>Description</t>
        </is>
      </c>
      <c r="B3" t="inlineStr">
        <is>
          <t>Ensure projects are delivered on time, within budget, and with high quality.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de_projects_on_time_budget</t>
        </is>
      </c>
      <c r="B7" t="inlineStr">
        <is>
          <t>Projects Delivered On Time &amp; Budget (Input)</t>
        </is>
      </c>
      <c r="C7" t="inlineStr">
        <is>
          <t>NUMBER</t>
        </is>
      </c>
      <c r="D7" t="inlineStr">
        <is>
          <t>Yes</t>
        </is>
      </c>
      <c r="F7">
        <f>'Raw Delivery Log'!B53</f>
        <v/>
      </c>
    </row>
    <row r="8">
      <c r="A8" t="inlineStr">
        <is>
          <t>de_total_projects_delivered</t>
        </is>
      </c>
      <c r="B8" t="inlineStr">
        <is>
          <t>Total Projects Delivered (Input)</t>
        </is>
      </c>
      <c r="C8" t="inlineStr">
        <is>
          <t>NUMBER</t>
        </is>
      </c>
      <c r="D8" t="inlineStr">
        <is>
          <t>Yes</t>
        </is>
      </c>
      <c r="F8">
        <f>'Raw Delivery Log'!B52</f>
        <v/>
      </c>
    </row>
    <row r="9">
      <c r="A9" t="inlineStr">
        <is>
          <t>de_approved_scope_changes</t>
        </is>
      </c>
      <c r="B9" t="inlineStr">
        <is>
          <t>Approved Scope Changes (Input)</t>
        </is>
      </c>
      <c r="C9" t="inlineStr">
        <is>
          <t>NUMBER</t>
        </is>
      </c>
      <c r="D9" t="inlineStr">
        <is>
          <t>Yes</t>
        </is>
      </c>
      <c r="F9">
        <f>'Raw Delivery Log'!B49</f>
        <v/>
      </c>
    </row>
    <row r="10">
      <c r="A10" t="inlineStr">
        <is>
          <t>de_total_scope_requests</t>
        </is>
      </c>
      <c r="B10" t="inlineStr">
        <is>
          <t>Total Scope Change Requests (Input)</t>
        </is>
      </c>
      <c r="C10" t="inlineStr">
        <is>
          <t>NUMBER</t>
        </is>
      </c>
      <c r="D10" t="inlineStr">
        <is>
          <t>Yes</t>
        </is>
      </c>
      <c r="F10">
        <f>'Raw Delivery Log'!B48</f>
        <v/>
      </c>
    </row>
    <row r="11">
      <c r="A11" t="inlineStr">
        <is>
          <t>de_deliverables_accepted</t>
        </is>
      </c>
      <c r="B11" t="inlineStr">
        <is>
          <t>Deliverables Accepted Without Rework (Input)</t>
        </is>
      </c>
      <c r="C11" t="inlineStr">
        <is>
          <t>NUMBER</t>
        </is>
      </c>
      <c r="D11" t="inlineStr">
        <is>
          <t>Auto (Raw Sheet)</t>
        </is>
      </c>
      <c r="F11">
        <f>'Raw Delivery Log'!B42</f>
        <v/>
      </c>
    </row>
    <row r="12">
      <c r="A12" t="inlineStr">
        <is>
          <t>de_total_deliverables</t>
        </is>
      </c>
      <c r="B12" t="inlineStr">
        <is>
          <t>Total Deliverables (Input)</t>
        </is>
      </c>
      <c r="C12" t="inlineStr">
        <is>
          <t>NUMBER</t>
        </is>
      </c>
      <c r="D12" t="inlineStr">
        <is>
          <t>Auto (Raw Sheet)</t>
        </is>
      </c>
      <c r="F12">
        <f>'Raw Delivery Log'!B41</f>
        <v/>
      </c>
    </row>
    <row r="13">
      <c r="A13" t="inlineStr">
        <is>
          <t>de_milestones_on_time</t>
        </is>
      </c>
      <c r="B13" t="inlineStr">
        <is>
          <t>Milestones Completed On Time (Input)</t>
        </is>
      </c>
      <c r="C13" t="inlineStr">
        <is>
          <t>NUMBER</t>
        </is>
      </c>
      <c r="D13" t="inlineStr">
        <is>
          <t>Yes</t>
        </is>
      </c>
      <c r="F13">
        <f>'Raw Delivery Log'!B51</f>
        <v/>
      </c>
    </row>
    <row r="14">
      <c r="A14" t="inlineStr">
        <is>
          <t>de_total_milestones</t>
        </is>
      </c>
      <c r="B14" t="inlineStr">
        <is>
          <t>Total Milestones (Input)</t>
        </is>
      </c>
      <c r="C14" t="inlineStr">
        <is>
          <t>NUMBER</t>
        </is>
      </c>
      <c r="D14" t="inlineStr">
        <is>
          <t>Yes</t>
        </is>
      </c>
      <c r="F14">
        <f>'Raw Delivery Log'!B50</f>
        <v/>
      </c>
    </row>
    <row r="15">
      <c r="A15" t="inlineStr">
        <is>
          <t>de_escalation_count</t>
        </is>
      </c>
      <c r="B15" t="inlineStr">
        <is>
          <t>Escalation Count (Input)</t>
        </is>
      </c>
      <c r="C15" t="inlineStr">
        <is>
          <t>NUMBER</t>
        </is>
      </c>
      <c r="D15" t="inlineStr">
        <is>
          <t>Auto (Raw Sheet)</t>
        </is>
      </c>
      <c r="F15">
        <f>'Raw Delivery Log'!B43</f>
        <v/>
      </c>
    </row>
    <row r="16">
      <c r="A16" t="inlineStr">
        <is>
          <t>de_post_delivery_defects</t>
        </is>
      </c>
      <c r="B16" t="inlineStr">
        <is>
          <t>Post Delivery Defects (Input)</t>
        </is>
      </c>
      <c r="C16" t="inlineStr">
        <is>
          <t>NUMBER</t>
        </is>
      </c>
      <c r="D16" t="inlineStr">
        <is>
          <t>Auto (Raw Sheet)</t>
        </is>
      </c>
      <c r="F16">
        <f>'Raw Delivery Log'!B44</f>
        <v/>
      </c>
    </row>
    <row r="17">
      <c r="A17" t="inlineStr">
        <is>
          <t>de_total_deliveries</t>
        </is>
      </c>
      <c r="B17" t="inlineStr">
        <is>
          <t>Total Deliveries (Input)</t>
        </is>
      </c>
      <c r="C17" t="inlineStr">
        <is>
          <t>NUMBER</t>
        </is>
      </c>
      <c r="D17" t="inlineStr">
        <is>
          <t>Auto (Raw Sheet)</t>
        </is>
      </c>
      <c r="F17">
        <f>'Raw Delivery Log'!B41</f>
        <v/>
      </c>
    </row>
    <row r="18">
      <c r="A18" t="inlineStr">
        <is>
          <t>on_time_delivery</t>
        </is>
      </c>
      <c r="B18" t="inlineStr">
        <is>
          <t>On-Time &amp; On-Budget Delivery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percentage of projects delivered on time and within approved budget.</t>
        </is>
      </c>
      <c r="F18">
        <f>IFERROR((F7 / F8) * 100, "")</f>
        <v/>
      </c>
    </row>
    <row r="19">
      <c r="A19" t="inlineStr">
        <is>
          <t>scope_change_control</t>
        </is>
      </c>
      <c r="B19" t="inlineStr">
        <is>
          <t>Scope Change Control Effectiveness (%)</t>
        </is>
      </c>
      <c r="C19" t="inlineStr">
        <is>
          <t>PERCENT</t>
        </is>
      </c>
      <c r="D19" t="inlineStr">
        <is>
          <t>Auto</t>
        </is>
      </c>
      <c r="E19" t="inlineStr">
        <is>
          <t>Measures effectiveness of managing and controlling project scope changes.</t>
        </is>
      </c>
      <c r="F19">
        <f>IFERROR((F9 / F10) * 100, "")</f>
        <v/>
      </c>
    </row>
    <row r="20">
      <c r="A20" t="inlineStr">
        <is>
          <t>first_time_right</t>
        </is>
      </c>
      <c r="B20" t="inlineStr">
        <is>
          <t>First Time Right (%)</t>
        </is>
      </c>
      <c r="C20" t="inlineStr">
        <is>
          <t>PERCENT</t>
        </is>
      </c>
      <c r="D20" t="inlineStr">
        <is>
          <t>Auto</t>
        </is>
      </c>
      <c r="E20" t="inlineStr">
        <is>
          <t>Measures percentage of deliverables accepted by client without requiring rework.</t>
        </is>
      </c>
      <c r="F20">
        <f>IFERROR((F11 / F12) * 100, "")</f>
        <v/>
      </c>
    </row>
    <row r="21">
      <c r="A21" t="inlineStr">
        <is>
          <t>schedule_adherence</t>
        </is>
      </c>
      <c r="B21" t="inlineStr">
        <is>
          <t>Schedule Adherence (%)</t>
        </is>
      </c>
      <c r="C21" t="inlineStr">
        <is>
          <t>PERCENT</t>
        </is>
      </c>
      <c r="D21" t="inlineStr">
        <is>
          <t>Auto</t>
        </is>
      </c>
      <c r="E21" t="inlineStr">
        <is>
          <t>Measures how well project milestones are delivered as per planned schedule.</t>
        </is>
      </c>
      <c r="F21">
        <f>IFERROR((F13 / F14) * 100, "")</f>
        <v/>
      </c>
    </row>
    <row r="22">
      <c r="A22" t="inlineStr">
        <is>
          <t>escalation_rate</t>
        </is>
      </c>
      <c r="B22" t="inlineStr">
        <is>
          <t>Escalation Rate (Count)</t>
        </is>
      </c>
      <c r="C22" t="inlineStr">
        <is>
          <t>NUMBER</t>
        </is>
      </c>
      <c r="D22" t="inlineStr">
        <is>
          <t>Auto</t>
        </is>
      </c>
      <c r="E22" t="inlineStr">
        <is>
          <t>Measures number of client escalations during delivery period.</t>
        </is>
      </c>
      <c r="F22">
        <f>IFERROR(F15, "")</f>
        <v/>
      </c>
    </row>
    <row r="23">
      <c r="A23" t="inlineStr">
        <is>
          <t>post_delivery_defect_rate</t>
        </is>
      </c>
      <c r="B23" t="inlineStr">
        <is>
          <t>Post Delivery Defect Rate (%)</t>
        </is>
      </c>
      <c r="C23" t="inlineStr">
        <is>
          <t>PERCENT</t>
        </is>
      </c>
      <c r="D23" t="inlineStr">
        <is>
          <t>Auto</t>
        </is>
      </c>
      <c r="E23" t="inlineStr">
        <is>
          <t>Measures defects reported after delivery completion.</t>
        </is>
      </c>
      <c r="F23">
        <f>IFERROR((F16 / F17) * 100,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F17" sqref="F17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quality_process</t>
        </is>
      </c>
    </row>
    <row r="2">
      <c r="A2" t="inlineStr">
        <is>
          <t>Goal Name</t>
        </is>
      </c>
      <c r="B2" t="inlineStr">
        <is>
          <t>Quality &amp; Process</t>
        </is>
      </c>
    </row>
    <row r="3">
      <c r="A3" t="inlineStr">
        <is>
          <t>Description</t>
        </is>
      </c>
      <c r="B3" t="inlineStr">
        <is>
          <t>Ensure adherence to defined processes and maintain high quality standards.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qp_rework_count</t>
        </is>
      </c>
      <c r="B7" t="inlineStr">
        <is>
          <t>Deliverables Requiring Rework (Input)</t>
        </is>
      </c>
      <c r="C7" t="inlineStr">
        <is>
          <t>NUMBER</t>
        </is>
      </c>
      <c r="D7" t="inlineStr">
        <is>
          <t>Yes</t>
        </is>
      </c>
      <c r="F7">
        <f>'Raw Delivery Log'!B54</f>
        <v/>
      </c>
    </row>
    <row r="8">
      <c r="A8" t="inlineStr">
        <is>
          <t>qp_total_deliverables</t>
        </is>
      </c>
      <c r="B8" t="inlineStr">
        <is>
          <t>Total Deliverables (Input) - Quality</t>
        </is>
      </c>
      <c r="C8" t="inlineStr">
        <is>
          <t>NUMBER</t>
        </is>
      </c>
      <c r="D8" t="inlineStr">
        <is>
          <t>Yes</t>
        </is>
      </c>
      <c r="F8">
        <f>'Raw Delivery Log'!B41</f>
        <v/>
      </c>
    </row>
    <row r="9">
      <c r="A9" t="inlineStr">
        <is>
          <t>qp_compliant_deliveries</t>
        </is>
      </c>
      <c r="B9" t="inlineStr">
        <is>
          <t>Process Compliant Deliveries (Input)</t>
        </is>
      </c>
      <c r="C9" t="inlineStr">
        <is>
          <t>NUMBER</t>
        </is>
      </c>
      <c r="D9" t="inlineStr">
        <is>
          <t>Yes</t>
        </is>
      </c>
      <c r="F9">
        <f>'Raw Delivery Log'!B62</f>
        <v/>
      </c>
    </row>
    <row r="10">
      <c r="A10" t="inlineStr">
        <is>
          <t>qp_total_deliveries</t>
        </is>
      </c>
      <c r="B10" t="inlineStr">
        <is>
          <t>Total Deliveries (Input) - Process</t>
        </is>
      </c>
      <c r="C10" t="inlineStr">
        <is>
          <t>NUMBER</t>
        </is>
      </c>
      <c r="D10" t="inlineStr">
        <is>
          <t>Yes</t>
        </is>
      </c>
      <c r="F10">
        <f>'Raw Delivery Log'!B41</f>
        <v/>
      </c>
    </row>
    <row r="11">
      <c r="A11" t="inlineStr">
        <is>
          <t>qp_formal_changes</t>
        </is>
      </c>
      <c r="B11" t="inlineStr">
        <is>
          <t>Formally Managed Changes (Input)</t>
        </is>
      </c>
      <c r="C11" t="inlineStr">
        <is>
          <t>NUMBER</t>
        </is>
      </c>
      <c r="D11" t="inlineStr">
        <is>
          <t>Yes</t>
        </is>
      </c>
      <c r="F11">
        <f>'Raw Delivery Log'!B55</f>
        <v/>
      </c>
    </row>
    <row r="12">
      <c r="A12" t="inlineStr">
        <is>
          <t>qp_total_changes</t>
        </is>
      </c>
      <c r="B12" t="inlineStr">
        <is>
          <t>Total Changes (Input)</t>
        </is>
      </c>
      <c r="C12" t="inlineStr">
        <is>
          <t>NUMBER</t>
        </is>
      </c>
      <c r="D12" t="inlineStr">
        <is>
          <t>Yes</t>
        </is>
      </c>
      <c r="F12">
        <f>'Raw Delivery Log'!B56</f>
        <v/>
      </c>
    </row>
    <row r="13">
      <c r="A13" t="inlineStr">
        <is>
          <t>qp_automated_projects</t>
        </is>
      </c>
      <c r="B13" t="inlineStr">
        <is>
          <t>Projects Using Automation (Input)</t>
        </is>
      </c>
      <c r="C13" t="inlineStr">
        <is>
          <t>NUMBER</t>
        </is>
      </c>
      <c r="D13" t="inlineStr">
        <is>
          <t>Yes</t>
        </is>
      </c>
      <c r="F13">
        <f>'Raw Delivery Log'!B58</f>
        <v/>
      </c>
    </row>
    <row r="14">
      <c r="A14" t="inlineStr">
        <is>
          <t>qp_total_projects</t>
        </is>
      </c>
      <c r="B14" t="inlineStr">
        <is>
          <t>Total Projects (Input)</t>
        </is>
      </c>
      <c r="C14" t="inlineStr">
        <is>
          <t>NUMBER</t>
        </is>
      </c>
      <c r="D14" t="inlineStr">
        <is>
          <t>Yes</t>
        </is>
      </c>
      <c r="F14">
        <f>'Raw Delivery Log'!B57</f>
        <v/>
      </c>
    </row>
    <row r="15">
      <c r="A15" t="inlineStr">
        <is>
          <t>delivery_error_rework_rate</t>
        </is>
      </c>
      <c r="B15" t="inlineStr">
        <is>
          <t>Delivery Error / Rework Rate (%)</t>
        </is>
      </c>
      <c r="C15" t="inlineStr">
        <is>
          <t>PERCENT</t>
        </is>
      </c>
      <c r="D15" t="inlineStr">
        <is>
          <t>Auto</t>
        </is>
      </c>
      <c r="E15" t="inlineStr">
        <is>
          <t>Measures percentage of deliverables requiring correction or rework.</t>
        </is>
      </c>
      <c r="F15">
        <f>IFERROR((F7 / F8) * 100, "")</f>
        <v/>
      </c>
    </row>
    <row r="16">
      <c r="A16" t="inlineStr">
        <is>
          <t>process_compliance_rate</t>
        </is>
      </c>
      <c r="B16" t="inlineStr">
        <is>
          <t>Process Compliance Rate (%)</t>
        </is>
      </c>
      <c r="C16" t="inlineStr">
        <is>
          <t>PERCENT</t>
        </is>
      </c>
      <c r="D16" t="inlineStr">
        <is>
          <t>Auto</t>
        </is>
      </c>
      <c r="E16" t="inlineStr">
        <is>
          <t>Measures adherence to defined SOPs and delivery processes.</t>
        </is>
      </c>
      <c r="F16">
        <f>IFERROR((F9 / F10) * 100, "")</f>
        <v/>
      </c>
    </row>
    <row r="17">
      <c r="A17" t="inlineStr">
        <is>
          <t>change_management_adherence</t>
        </is>
      </c>
      <c r="B17" t="inlineStr">
        <is>
          <t>Change Management Adherence (%)</t>
        </is>
      </c>
      <c r="C17" t="inlineStr">
        <is>
          <t>PERCENT</t>
        </is>
      </c>
      <c r="D17" t="inlineStr">
        <is>
          <t>Auto</t>
        </is>
      </c>
      <c r="E17" t="inlineStr">
        <is>
          <t>Measures percentage of changes handled using formal change management process.</t>
        </is>
      </c>
      <c r="F17">
        <f>IFERROR((F11 / F12) * 100, "")</f>
        <v/>
      </c>
    </row>
    <row r="18">
      <c r="A18" t="inlineStr">
        <is>
          <t>automation_adoption</t>
        </is>
      </c>
      <c r="B18" t="inlineStr">
        <is>
          <t>Automation Adoption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usage of automation in delivery activities.</t>
        </is>
      </c>
      <c r="F18">
        <f>IFERROR((F13 / F14) * 100, 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value_client</t>
        </is>
      </c>
    </row>
    <row r="2">
      <c r="A2" t="inlineStr">
        <is>
          <t>Goal Name</t>
        </is>
      </c>
      <c r="B2" t="inlineStr">
        <is>
          <t>Value Add &amp; Client Satisfaction</t>
        </is>
      </c>
    </row>
    <row r="3">
      <c r="A3" t="inlineStr">
        <is>
          <t>Description</t>
        </is>
      </c>
      <c r="B3" t="inlineStr">
        <is>
          <t>Deliver additional business value and ensure high client satisfaction.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vc_additional_initiatives</t>
        </is>
      </c>
      <c r="B7" t="inlineStr">
        <is>
          <t>Additional Initiatives Completed (Input)</t>
        </is>
      </c>
      <c r="C7" t="inlineStr">
        <is>
          <t>NUMBER</t>
        </is>
      </c>
      <c r="D7" t="inlineStr">
        <is>
          <t>Yes</t>
        </is>
      </c>
      <c r="F7">
        <f>'Raw Delivery Log'!B59</f>
        <v/>
      </c>
    </row>
    <row r="8">
      <c r="A8" t="inlineStr">
        <is>
          <t>vc_total_score</t>
        </is>
      </c>
      <c r="B8" t="inlineStr">
        <is>
          <t>Total Client Ratings Score (Input)</t>
        </is>
      </c>
      <c r="C8" t="inlineStr">
        <is>
          <t>NUMBER</t>
        </is>
      </c>
      <c r="D8" t="inlineStr">
        <is>
          <t>Yes</t>
        </is>
      </c>
      <c r="F8">
        <f>'Raw Delivery Log'!B60</f>
        <v/>
      </c>
    </row>
    <row r="9">
      <c r="A9" t="inlineStr">
        <is>
          <t>vc_total_responses</t>
        </is>
      </c>
      <c r="B9" t="inlineStr">
        <is>
          <t>Total Client Responses (Input)</t>
        </is>
      </c>
      <c r="C9" t="inlineStr">
        <is>
          <t>NUMBER</t>
        </is>
      </c>
      <c r="D9" t="inlineStr">
        <is>
          <t>Yes</t>
        </is>
      </c>
      <c r="F9">
        <f>'Raw Delivery Log'!B61</f>
        <v/>
      </c>
    </row>
    <row r="10">
      <c r="A10" t="inlineStr">
        <is>
          <t>additional_initiatives_delivered</t>
        </is>
      </c>
      <c r="B10" t="inlineStr">
        <is>
          <t>Additional Initiatives Delivered (Count)</t>
        </is>
      </c>
      <c r="C10" t="inlineStr">
        <is>
          <t>NUMBER</t>
        </is>
      </c>
      <c r="D10" t="inlineStr">
        <is>
          <t>Auto</t>
        </is>
      </c>
      <c r="E10" t="inlineStr">
        <is>
          <t>Measures number of additional value-added initiatives beyond planned delivery.</t>
        </is>
      </c>
      <c r="F10">
        <f>IFERROR(F7, "")</f>
        <v/>
      </c>
    </row>
    <row r="11">
      <c r="A11" t="inlineStr">
        <is>
          <t>csat_score</t>
        </is>
      </c>
      <c r="B11" t="inlineStr">
        <is>
          <t>Client Satisfaction Score (CSAT)</t>
        </is>
      </c>
      <c r="C11" t="inlineStr">
        <is>
          <t>NUMBER</t>
        </is>
      </c>
      <c r="D11" t="inlineStr">
        <is>
          <t>Auto</t>
        </is>
      </c>
      <c r="E11" t="inlineStr">
        <is>
          <t>Measures client satisfaction level based on feedback ratings.</t>
        </is>
      </c>
      <c r="F11">
        <f>IFERROR((F8 / F9), 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Current Template Raw-Driven AutoFill Sample (No code changes)</t>
        </is>
      </c>
    </row>
    <row r="2">
      <c r="A2" t="inlineStr">
        <is>
          <t>Purpose: Fill Raw Delivery Log only; Delivery/Quality/Value metrics auto-fill via formulas.</t>
        </is>
      </c>
    </row>
    <row r="3">
      <c r="A3" t="inlineStr">
        <is>
          <t>File source: delivery-department-kpi (3).xlsx</t>
        </is>
      </c>
    </row>
    <row r="4"/>
    <row r="5">
      <c r="A5" t="inlineStr">
        <is>
          <t>What was kept same</t>
        </is>
      </c>
    </row>
    <row r="6">
      <c r="A6" t="inlineStr">
        <is>
          <t>- Existing sheet names and structure are unchanged.</t>
        </is>
      </c>
    </row>
    <row r="7">
      <c r="A7" t="inlineStr">
        <is>
          <t>- Existing Delivery/Quality/Value computed formulas remain intact.</t>
        </is>
      </c>
    </row>
    <row r="8"/>
    <row r="9">
      <c r="A9" t="inlineStr">
        <is>
          <t>What was added for full auto-fill demo</t>
        </is>
      </c>
    </row>
    <row r="10">
      <c r="A10" t="inlineStr">
        <is>
          <t>- Proxy helper columns U:AB on Raw Delivery Log.</t>
        </is>
      </c>
    </row>
    <row r="11">
      <c r="A11" t="inlineStr">
        <is>
          <t>- Extended summary rows B48:B62 on Raw Delivery Log.</t>
        </is>
      </c>
    </row>
    <row r="12">
      <c r="A12" t="inlineStr">
        <is>
          <t>- Input metric cells in Delivery/Quality/Value link to Raw summary cells.</t>
        </is>
      </c>
    </row>
    <row r="13"/>
    <row r="14">
      <c r="A14" t="inlineStr">
        <is>
          <t>Proxy assumptions (for manager review)</t>
        </is>
      </c>
    </row>
    <row r="15">
      <c r="A15" t="inlineStr">
        <is>
          <t>- Scope/FORMAL/Automation/Initiative are derived by helper formulas from existing raw fields.</t>
        </is>
      </c>
    </row>
    <row r="16">
      <c r="A16" t="inlineStr">
        <is>
          <t>- CSAT Score uses proxy formula: 5 when Additional Initiative = Y, else blank.</t>
        </is>
      </c>
    </row>
    <row r="17">
      <c r="A17" t="inlineStr">
        <is>
          <t>- These can be replaced later with actual explicit raw input columns if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2026-02-20T07:42:11Z</dcterms:created>
  <dcterms:modified xsi:type="dcterms:W3CDTF">2026-02-23T08:15:32Z</dcterms:modified>
  <cp:lastModifiedBy>Rohan Vikhe</cp:lastModifiedBy>
</cp:coreProperties>
</file>