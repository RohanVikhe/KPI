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Raw Delivery Log" sheetId="1" state="visible" r:id="rId1"/>
    <sheet name="Raw_Summary" sheetId="2" state="visible" r:id="rId2"/>
    <sheet name="KPI Auto Fill Preview" sheetId="3" state="visible" r:id="rId3"/>
    <sheet name="How_To_Use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7.83203125" customWidth="1" min="1" max="1"/>
    <col width="16.83203125" customWidth="1" min="2" max="2"/>
    <col width="28.83203125" customWidth="1" min="3" max="3"/>
    <col width="30.83203125" customWidth="1" min="4" max="4"/>
    <col width="12.83203125" customWidth="1" min="5" max="5"/>
    <col width="12.83203125" customWidth="1" min="6" max="6"/>
    <col width="12.83203125" customWidth="1" min="7" max="7"/>
    <col width="16.83203125" customWidth="1" min="8" max="8"/>
    <col width="22.83203125" customWidth="1" min="9" max="9"/>
    <col width="12.83203125" customWidth="1" min="10" max="10"/>
    <col width="16.83203125" customWidth="1" min="11" max="11"/>
    <col width="16.83203125" customWidth="1" min="12" max="12"/>
    <col width="24.83203125" customWidth="1" min="13" max="13"/>
    <col width="18.83203125" customWidth="1" min="14" max="14"/>
    <col width="24.83203125" customWidth="1" min="15" max="15"/>
    <col width="14.83203125" customWidth="1" min="16" max="16"/>
    <col width="20.83203125" customWidth="1" min="17" max="17"/>
    <col width="22.83203125" customWidth="1" min="18" max="18"/>
    <col width="18.83203125" customWidth="1" min="19" max="19"/>
    <col width="24.83203125" customWidth="1" min="20" max="20"/>
    <col width="10.83203125" customWidth="1" min="21" max="21"/>
    <col width="22.83203125" customWidth="1" min="22" max="22"/>
    <col width="34.83203125" customWidth="1" min="23" max="23"/>
    <col width="24.83203125" customWidth="1" min="24" max="24"/>
  </cols>
  <sheetData>
    <row r="1">
      <c r="A1" t="inlineStr">
        <is>
          <t>SR NO</t>
        </is>
      </c>
      <c r="B1" t="inlineStr">
        <is>
          <t>TICKET/TASK ID</t>
        </is>
      </c>
      <c r="C1" t="inlineStr">
        <is>
          <t>PROJECT/MODULE</t>
        </is>
      </c>
      <c r="D1" t="inlineStr">
        <is>
          <t>ISSUE DESCRIPTION</t>
        </is>
      </c>
      <c r="E1" t="inlineStr">
        <is>
          <t>ISSUE DATE</t>
        </is>
      </c>
      <c r="F1" t="inlineStr">
        <is>
          <t>DUE DATE</t>
        </is>
      </c>
      <c r="G1" t="inlineStr">
        <is>
          <t>DELIVERY DATE</t>
        </is>
      </c>
      <c r="H1" t="inlineStr">
        <is>
          <t>DELIVERED? (Y/N)</t>
        </is>
      </c>
      <c r="I1" t="inlineStr">
        <is>
          <t>REWORK REQUIRED? (Y/N)</t>
        </is>
      </c>
      <c r="J1" t="inlineStr">
        <is>
          <t>REWORK COUNT</t>
        </is>
      </c>
      <c r="K1" t="inlineStr">
        <is>
          <t>ESCALATED? (Y/N)</t>
        </is>
      </c>
      <c r="L1" t="inlineStr">
        <is>
          <t>ESCALATION LEVEL</t>
        </is>
      </c>
      <c r="M1" t="inlineStr">
        <is>
          <t>POST-DELIVERY DEFECT? (Y/N)</t>
        </is>
      </c>
      <c r="N1" t="inlineStr">
        <is>
          <t>SCOPE REQUEST? (Y/N)</t>
        </is>
      </c>
      <c r="O1" t="inlineStr">
        <is>
          <t>APPROVED SCOPE CHANGE? (Y/N)</t>
        </is>
      </c>
      <c r="P1" t="inlineStr">
        <is>
          <t>MILESTONE? (Y/N)</t>
        </is>
      </c>
      <c r="Q1" t="inlineStr">
        <is>
          <t>MILESTONE ON TIME? (Y/N)</t>
        </is>
      </c>
      <c r="R1" t="inlineStr">
        <is>
          <t>FORMAL CHANGE LOGGED? (Y/N)</t>
        </is>
      </c>
      <c r="S1" t="inlineStr">
        <is>
          <t>AUTOMATION USED? (Y/N)</t>
        </is>
      </c>
      <c r="T1" t="inlineStr">
        <is>
          <t>ADDITIONAL INITIATIVE? (Y/N)</t>
        </is>
      </c>
      <c r="U1" t="inlineStr">
        <is>
          <t>CSAT SCORE</t>
        </is>
      </c>
      <c r="V1" t="inlineStr">
        <is>
          <t>REFERENCE NAME</t>
        </is>
      </c>
      <c r="W1" t="inlineStr">
        <is>
          <t>REFERENCE URL</t>
        </is>
      </c>
      <c r="X1" t="inlineStr">
        <is>
          <t>REFERENCE LINK</t>
        </is>
      </c>
    </row>
    <row r="2">
      <c r="A2" t="n">
        <v>1</v>
      </c>
      <c r="B2" t="inlineStr">
        <is>
          <t>M0093</t>
        </is>
      </c>
      <c r="C2" t="inlineStr">
        <is>
          <t>M0093_SharePoint_to_DMP</t>
        </is>
      </c>
      <c r="D2" t="inlineStr">
        <is>
          <t>File Management Issue</t>
        </is>
      </c>
      <c r="E2" t="inlineStr">
        <is>
          <t>2026-01-29</t>
        </is>
      </c>
      <c r="F2" t="inlineStr">
        <is>
          <t>2026-02-03</t>
        </is>
      </c>
      <c r="G2" t="inlineStr">
        <is>
          <t>2026-02-02</t>
        </is>
      </c>
      <c r="H2" t="inlineStr">
        <is>
          <t>Y</t>
        </is>
      </c>
      <c r="I2" t="inlineStr">
        <is>
          <t>N</t>
        </is>
      </c>
      <c r="J2" t="n">
        <v>0</v>
      </c>
      <c r="K2" t="inlineStr">
        <is>
          <t>Y</t>
        </is>
      </c>
      <c r="L2" t="inlineStr">
        <is>
          <t>None</t>
        </is>
      </c>
      <c r="M2" t="inlineStr">
        <is>
          <t>N</t>
        </is>
      </c>
      <c r="N2" t="inlineStr">
        <is>
          <t>N</t>
        </is>
      </c>
      <c r="O2" t="inlineStr">
        <is>
          <t>N</t>
        </is>
      </c>
      <c r="P2" t="inlineStr">
        <is>
          <t>Y</t>
        </is>
      </c>
      <c r="Q2" t="inlineStr">
        <is>
          <t>Y</t>
        </is>
      </c>
      <c r="R2" t="inlineStr">
        <is>
          <t>N</t>
        </is>
      </c>
      <c r="S2" t="inlineStr">
        <is>
          <t>Y</t>
        </is>
      </c>
      <c r="T2" t="inlineStr">
        <is>
          <t>Y</t>
        </is>
      </c>
      <c r="U2" t="n">
        <v>4</v>
      </c>
      <c r="V2" t="inlineStr">
        <is>
          <t>Root Cause Doc</t>
        </is>
      </c>
      <c r="W2" t="inlineStr">
        <is>
          <t>https://example.com/rca-m0093</t>
        </is>
      </c>
      <c r="X2">
        <f>IF(W2="","",HYPERLINK(W2,V2))</f>
        <v/>
      </c>
    </row>
    <row r="3">
      <c r="A3" t="n">
        <v>2</v>
      </c>
      <c r="B3" t="inlineStr">
        <is>
          <t>564</t>
        </is>
      </c>
      <c r="C3" t="inlineStr">
        <is>
          <t>M0098_DMP_to_FoodLink</t>
        </is>
      </c>
      <c r="D3" t="inlineStr">
        <is>
          <t>Scratch Development</t>
        </is>
      </c>
      <c r="E3" t="inlineStr">
        <is>
          <t>2026-01-23</t>
        </is>
      </c>
      <c r="F3" t="inlineStr">
        <is>
          <t>2026-01-30</t>
        </is>
      </c>
      <c r="G3" t="inlineStr">
        <is>
          <t>2026-01-30</t>
        </is>
      </c>
      <c r="H3" t="inlineStr">
        <is>
          <t>Y</t>
        </is>
      </c>
      <c r="I3" t="inlineStr">
        <is>
          <t>Y</t>
        </is>
      </c>
      <c r="J3" t="n">
        <v>2</v>
      </c>
      <c r="K3" t="inlineStr">
        <is>
          <t>N</t>
        </is>
      </c>
      <c r="L3" t="inlineStr">
        <is>
          <t>None</t>
        </is>
      </c>
      <c r="M3" t="inlineStr">
        <is>
          <t>N</t>
        </is>
      </c>
      <c r="N3" t="inlineStr">
        <is>
          <t>Y</t>
        </is>
      </c>
      <c r="O3" t="inlineStr">
        <is>
          <t>N</t>
        </is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N</t>
        </is>
      </c>
      <c r="T3" t="inlineStr">
        <is>
          <t>N</t>
        </is>
      </c>
      <c r="U3" t="n">
        <v>5</v>
      </c>
      <c r="V3" t="inlineStr">
        <is>
          <t>Change Request</t>
        </is>
      </c>
      <c r="W3" t="inlineStr">
        <is>
          <t>https://example.com/cr-564</t>
        </is>
      </c>
      <c r="X3">
        <f>IF(W3="","",HYPERLINK(W3,V3))</f>
        <v/>
      </c>
    </row>
    <row r="4">
      <c r="A4" t="n">
        <v>3</v>
      </c>
      <c r="B4" t="inlineStr">
        <is>
          <t>261</t>
        </is>
      </c>
      <c r="C4" t="inlineStr">
        <is>
          <t>M0025_JNAL_DMPToBlackLine</t>
        </is>
      </c>
      <c r="D4" t="inlineStr">
        <is>
          <t>DDL internal TB issue</t>
        </is>
      </c>
      <c r="E4" t="inlineStr">
        <is>
          <t>2026-02-04</t>
        </is>
      </c>
      <c r="F4" t="inlineStr">
        <is>
          <t>2026-02-06</t>
        </is>
      </c>
      <c r="G4" t="inlineStr">
        <is>
          <t>2026-02-06</t>
        </is>
      </c>
      <c r="H4" t="inlineStr">
        <is>
          <t>Y</t>
        </is>
      </c>
      <c r="I4" t="inlineStr">
        <is>
          <t>N</t>
        </is>
      </c>
      <c r="J4" t="n">
        <v>0</v>
      </c>
      <c r="K4" t="inlineStr">
        <is>
          <t>N</t>
        </is>
      </c>
      <c r="L4" t="inlineStr">
        <is>
          <t>None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Y</t>
        </is>
      </c>
      <c r="Q4" t="inlineStr">
        <is>
          <t>Y</t>
        </is>
      </c>
      <c r="R4" t="inlineStr">
        <is>
          <t>N</t>
        </is>
      </c>
      <c r="S4" t="inlineStr">
        <is>
          <t>Y</t>
        </is>
      </c>
      <c r="T4" t="inlineStr">
        <is>
          <t>N</t>
        </is>
      </c>
      <c r="U4" t="n">
        <v>4</v>
      </c>
      <c r="V4" t="inlineStr">
        <is>
          <t>Tech Notes</t>
        </is>
      </c>
      <c r="W4" t="inlineStr">
        <is>
          <t>https://example.com/tech-261</t>
        </is>
      </c>
      <c r="X4">
        <f>IF(W4="","",HYPERLINK(W4,V4))</f>
        <v/>
      </c>
    </row>
    <row r="5">
      <c r="A5" t="n">
        <v>4</v>
      </c>
      <c r="B5" t="inlineStr">
        <is>
          <t>641</t>
        </is>
      </c>
      <c r="C5" t="inlineStr">
        <is>
          <t>M0025_JNAL_DMPToBlackLine</t>
        </is>
      </c>
      <c r="D5" t="inlineStr">
        <is>
          <t>Unable to get S3 in bulk</t>
        </is>
      </c>
      <c r="E5" t="inlineStr">
        <is>
          <t>2026-02-04</t>
        </is>
      </c>
      <c r="F5" t="inlineStr">
        <is>
          <t>2026-02-06</t>
        </is>
      </c>
      <c r="G5" t="inlineStr">
        <is>
          <t>2026-02-06</t>
        </is>
      </c>
      <c r="H5" t="inlineStr">
        <is>
          <t>Y</t>
        </is>
      </c>
      <c r="I5" t="inlineStr">
        <is>
          <t>N</t>
        </is>
      </c>
      <c r="J5" t="n">
        <v>0</v>
      </c>
      <c r="K5" t="inlineStr">
        <is>
          <t>N</t>
        </is>
      </c>
      <c r="L5" t="inlineStr">
        <is>
          <t>None</t>
        </is>
      </c>
      <c r="M5" t="inlineStr">
        <is>
          <t>N</t>
        </is>
      </c>
      <c r="N5" t="inlineStr">
        <is>
          <t>Y</t>
        </is>
      </c>
      <c r="O5" t="inlineStr">
        <is>
          <t>Y</t>
        </is>
      </c>
      <c r="P5" t="inlineStr">
        <is>
          <t>Y</t>
        </is>
      </c>
      <c r="Q5" t="inlineStr">
        <is>
          <t>Y</t>
        </is>
      </c>
      <c r="R5" t="inlineStr">
        <is>
          <t>Y</t>
        </is>
      </c>
      <c r="S5" t="inlineStr">
        <is>
          <t>N</t>
        </is>
      </c>
      <c r="T5" t="inlineStr">
        <is>
          <t>N</t>
        </is>
      </c>
      <c r="U5" t="n">
        <v>3</v>
      </c>
      <c r="V5" t="inlineStr">
        <is>
          <t>S3 Investigation</t>
        </is>
      </c>
      <c r="W5" t="inlineStr">
        <is>
          <t>https://example.com/s3-641</t>
        </is>
      </c>
      <c r="X5">
        <f>IF(W5="","",HYPERLINK(W5,V5))</f>
        <v/>
      </c>
    </row>
    <row r="6">
      <c r="A6" t="n">
        <v>5</v>
      </c>
      <c r="B6" t="inlineStr">
        <is>
          <t>521</t>
        </is>
      </c>
      <c r="C6" t="inlineStr">
        <is>
          <t>ngc</t>
        </is>
      </c>
      <c r="D6" t="inlineStr">
        <is>
          <t>General Support</t>
        </is>
      </c>
      <c r="E6" t="inlineStr">
        <is>
          <t>2026-02-04</t>
        </is>
      </c>
      <c r="F6" t="inlineStr">
        <is>
          <t>2026-02-08</t>
        </is>
      </c>
      <c r="G6" t="inlineStr">
        <is>
          <t>2026-02-06</t>
        </is>
      </c>
      <c r="H6" t="inlineStr">
        <is>
          <t>Y</t>
        </is>
      </c>
      <c r="I6" t="inlineStr">
        <is>
          <t>N</t>
        </is>
      </c>
      <c r="J6" t="n">
        <v>0</v>
      </c>
      <c r="K6" t="inlineStr">
        <is>
          <t>N</t>
        </is>
      </c>
      <c r="L6" t="inlineStr">
        <is>
          <t>None</t>
        </is>
      </c>
      <c r="M6" t="inlineStr">
        <is>
          <t>Y</t>
        </is>
      </c>
      <c r="N6" t="inlineStr">
        <is>
          <t>N</t>
        </is>
      </c>
      <c r="O6" t="inlineStr">
        <is>
          <t>N</t>
        </is>
      </c>
      <c r="P6" t="inlineStr">
        <is>
          <t>Y</t>
        </is>
      </c>
      <c r="Q6" t="inlineStr">
        <is>
          <t>N</t>
        </is>
      </c>
      <c r="R6" t="inlineStr">
        <is>
          <t>N</t>
        </is>
      </c>
      <c r="S6" t="inlineStr">
        <is>
          <t>Y</t>
        </is>
      </c>
      <c r="T6" t="inlineStr">
        <is>
          <t>Y</t>
        </is>
      </c>
      <c r="U6" t="n">
        <v>5</v>
      </c>
      <c r="V6" t="inlineStr">
        <is>
          <t>Delivery Evidence</t>
        </is>
      </c>
      <c r="W6" t="inlineStr">
        <is>
          <t>https://example.com/deliv-521</t>
        </is>
      </c>
      <c r="X6">
        <f>IF(W6="","",HYPERLINK(W6,V6))</f>
        <v/>
      </c>
    </row>
  </sheetData>
  <dataValidations count="2">
    <dataValidation sqref="I3:J39 L3:L39 N3:N39" showDropDown="0" showInputMessage="0" showErrorMessage="0" allowBlank="1" errorTitle="Invalid value" error="Select Y or N." promptTitle="Y/N" prompt="Choose Y or N from dropdown." type="list">
      <formula1>"Y,N"</formula1>
    </dataValidation>
    <dataValidation sqref="P3:P39" showDropDown="0" showInputMessage="0" showErrorMessage="0" allowBlank="1" errorTitle="Invalid value" error="Choose a valid Type value from dropdown." promptTitle="Type" prompt="Choose delivery item type." type="list">
      <formula1>"Value Add,Bug,Story,Training,Knowledge Sharing"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.83203125" customWidth="1" min="1" max="1"/>
    <col width="18.83203125" customWidth="1" min="2" max="2"/>
    <col width="42.83203125" customWidth="1" min="3" max="3"/>
  </cols>
  <sheetData>
    <row r="1">
      <c r="A1" t="inlineStr">
        <is>
          <t>metric_key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de_total_deliverables</t>
        </is>
      </c>
      <c r="B2">
        <f>COUNTIFS('Raw Delivery Log'!$H$2:$H$200,"Y")</f>
        <v/>
      </c>
      <c r="C2" t="inlineStr">
        <is>
          <t>Total delivered count</t>
        </is>
      </c>
    </row>
    <row r="3">
      <c r="A3" t="inlineStr">
        <is>
          <t>de_deliverables_accepted</t>
        </is>
      </c>
      <c r="B3">
        <f>COUNTIFS('Raw Delivery Log'!$H$2:$H$200,"Y",'Raw Delivery Log'!$I$2:$I$200,"N")</f>
        <v/>
      </c>
      <c r="C3" t="inlineStr">
        <is>
          <t>First-time-right delivered count</t>
        </is>
      </c>
    </row>
    <row r="4">
      <c r="A4" t="inlineStr">
        <is>
          <t>de_escalation_count</t>
        </is>
      </c>
      <c r="B4">
        <f>COUNTIFS('Raw Delivery Log'!$K$2:$K$200,"Y")</f>
        <v/>
      </c>
      <c r="C4" t="inlineStr">
        <is>
          <t>Escalated items count</t>
        </is>
      </c>
    </row>
    <row r="5">
      <c r="A5" t="inlineStr">
        <is>
          <t>de_post_delivery_defects</t>
        </is>
      </c>
      <c r="B5">
        <f>COUNTIFS('Raw Delivery Log'!$M$2:$M$200,"Y")</f>
        <v/>
      </c>
      <c r="C5" t="inlineStr">
        <is>
          <t>Post-delivery defects count</t>
        </is>
      </c>
    </row>
    <row r="6">
      <c r="A6" t="inlineStr">
        <is>
          <t>de_total_deliveries</t>
        </is>
      </c>
      <c r="B6">
        <f>B2</f>
        <v/>
      </c>
      <c r="C6" t="inlineStr">
        <is>
          <t>Mirror of total deliverables</t>
        </is>
      </c>
    </row>
    <row r="7">
      <c r="A7" t="inlineStr">
        <is>
          <t>de_total_scope_requests</t>
        </is>
      </c>
      <c r="B7">
        <f>COUNTIFS('Raw Delivery Log'!$N$2:$N$200,"Y")</f>
        <v/>
      </c>
      <c r="C7" t="inlineStr">
        <is>
          <t>Scope requests count</t>
        </is>
      </c>
    </row>
    <row r="8">
      <c r="A8" t="inlineStr">
        <is>
          <t>de_approved_scope_changes</t>
        </is>
      </c>
      <c r="B8">
        <f>COUNTIFS('Raw Delivery Log'!$O$2:$O$200,"Y")</f>
        <v/>
      </c>
      <c r="C8" t="inlineStr">
        <is>
          <t>Approved scope changes</t>
        </is>
      </c>
    </row>
    <row r="9">
      <c r="A9" t="inlineStr">
        <is>
          <t>de_total_milestones</t>
        </is>
      </c>
      <c r="B9">
        <f>COUNTIFS('Raw Delivery Log'!$P$2:$P$200,"Y")</f>
        <v/>
      </c>
      <c r="C9" t="inlineStr">
        <is>
          <t>Total milestones</t>
        </is>
      </c>
    </row>
    <row r="10">
      <c r="A10" t="inlineStr">
        <is>
          <t>de_milestones_on_time</t>
        </is>
      </c>
      <c r="B10">
        <f>COUNTIFS('Raw Delivery Log'!$Q$2:$Q$200,"Y")</f>
        <v/>
      </c>
      <c r="C10" t="inlineStr">
        <is>
          <t>Milestones on-time</t>
        </is>
      </c>
    </row>
    <row r="11">
      <c r="A11" t="inlineStr">
        <is>
          <t>qp_rework_count</t>
        </is>
      </c>
      <c r="B11">
        <f>SUM('Raw Delivery Log'!$J$2:$J$200)</f>
        <v/>
      </c>
      <c r="C11" t="inlineStr">
        <is>
          <t>Total rework count</t>
        </is>
      </c>
    </row>
    <row r="12">
      <c r="A12" t="inlineStr">
        <is>
          <t>qp_total_deliverables</t>
        </is>
      </c>
      <c r="B12">
        <f>B2</f>
        <v/>
      </c>
      <c r="C12" t="inlineStr">
        <is>
          <t>Mirror of total deliverables</t>
        </is>
      </c>
    </row>
    <row r="13">
      <c r="A13" t="inlineStr">
        <is>
          <t>qp_compliant_deliveries</t>
        </is>
      </c>
      <c r="B13">
        <f>B3</f>
        <v/>
      </c>
      <c r="C13" t="inlineStr">
        <is>
          <t>Using first-time-right as compliant</t>
        </is>
      </c>
    </row>
    <row r="14">
      <c r="A14" t="inlineStr">
        <is>
          <t>qp_total_deliveries</t>
        </is>
      </c>
      <c r="B14">
        <f>B2</f>
        <v/>
      </c>
      <c r="C14" t="inlineStr">
        <is>
          <t>Mirror of total deliveries</t>
        </is>
      </c>
    </row>
    <row r="15">
      <c r="A15" t="inlineStr">
        <is>
          <t>qp_total_changes</t>
        </is>
      </c>
      <c r="B15">
        <f>B7</f>
        <v/>
      </c>
      <c r="C15" t="inlineStr">
        <is>
          <t>Mirror of total scope requests</t>
        </is>
      </c>
    </row>
    <row r="16">
      <c r="A16" t="inlineStr">
        <is>
          <t>qp_formal_changes</t>
        </is>
      </c>
      <c r="B16">
        <f>COUNTIFS('Raw Delivery Log'!$R$2:$R$200,"Y")</f>
        <v/>
      </c>
      <c r="C16" t="inlineStr">
        <is>
          <t>Formal change records</t>
        </is>
      </c>
    </row>
    <row r="17">
      <c r="A17" t="inlineStr">
        <is>
          <t>qp_total_projects</t>
        </is>
      </c>
      <c r="B17">
        <f>IFERROR(COUNTA(UNIQUE(FILTER('Raw Delivery Log'!$C$2:$C$200,'Raw Delivery Log'!$C$2:$C$200&lt;&gt;""))),0)</f>
        <v/>
      </c>
      <c r="C17" t="inlineStr">
        <is>
          <t>Distinct projects</t>
        </is>
      </c>
    </row>
    <row r="18">
      <c r="A18" t="inlineStr">
        <is>
          <t>qp_automated_projects</t>
        </is>
      </c>
      <c r="B18">
        <f>IFERROR(COUNTA(UNIQUE(FILTER('Raw Delivery Log'!$C$2:$C$200,'Raw Delivery Log'!$S$2:$S$200="Y"))),0)</f>
        <v/>
      </c>
      <c r="C18" t="inlineStr">
        <is>
          <t>Distinct automated projects</t>
        </is>
      </c>
    </row>
    <row r="19">
      <c r="A19" t="inlineStr">
        <is>
          <t>vc_additional_initiatives</t>
        </is>
      </c>
      <c r="B19">
        <f>COUNTIFS('Raw Delivery Log'!$T$2:$T$200,"Y")</f>
        <v/>
      </c>
      <c r="C19" t="inlineStr">
        <is>
          <t>Additional initiatives count</t>
        </is>
      </c>
    </row>
    <row r="20">
      <c r="A20" t="inlineStr">
        <is>
          <t>vc_total_score</t>
        </is>
      </c>
      <c r="B20">
        <f>SUM('Raw Delivery Log'!$U$2:$U$200)</f>
        <v/>
      </c>
      <c r="C20" t="inlineStr">
        <is>
          <t>Total CSAT score</t>
        </is>
      </c>
    </row>
    <row r="21">
      <c r="A21" t="inlineStr">
        <is>
          <t>vc_total_responses</t>
        </is>
      </c>
      <c r="B21">
        <f>COUNT('Raw Delivery Log'!$U$2:$U$200)</f>
        <v/>
      </c>
      <c r="C21" t="inlineStr">
        <is>
          <t>CSAT responses count</t>
        </is>
      </c>
    </row>
    <row r="22">
      <c r="A22" t="inlineStr">
        <is>
          <t>ftr_rate_percent</t>
        </is>
      </c>
      <c r="B22">
        <f>IF(B2=0,0,ROUND((B3/B2)*100,2))</f>
        <v/>
      </c>
      <c r="C22" t="inlineStr">
        <is>
          <t>First time right %</t>
        </is>
      </c>
    </row>
    <row r="23">
      <c r="A23" t="inlineStr">
        <is>
          <t>escalation_rate_percent</t>
        </is>
      </c>
      <c r="B23">
        <f>IF(B2=0,0,ROUND((B4/B2)*100,2))</f>
        <v/>
      </c>
      <c r="C23" t="inlineStr">
        <is>
          <t>Escalation %</t>
        </is>
      </c>
    </row>
    <row r="24">
      <c r="A24" t="inlineStr">
        <is>
          <t>post_defect_rate_percent</t>
        </is>
      </c>
      <c r="B24">
        <f>IF(B2=0,0,ROUND((B5/B2)*100,2))</f>
        <v/>
      </c>
      <c r="C24" t="inlineStr">
        <is>
          <t>Post-delivery defect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.83203125" customWidth="1" min="1" max="1"/>
    <col width="24.83203125" customWidth="1" min="2" max="2"/>
    <col width="36.83203125" customWidth="1" min="3" max="3"/>
  </cols>
  <sheetData>
    <row r="1">
      <c r="A1" t="inlineStr">
        <is>
          <t>metric_key</t>
        </is>
      </c>
      <c r="B1" t="inlineStr">
        <is>
          <t>auto_value_from_raw</t>
        </is>
      </c>
      <c r="C1" t="inlineStr">
        <is>
          <t>goal</t>
        </is>
      </c>
    </row>
    <row r="2">
      <c r="A2" t="inlineStr">
        <is>
          <t>de_total_deliverables</t>
        </is>
      </c>
      <c r="B2">
        <f>IFERROR(INDEX('Raw_Summary'!$B:$B,MATCH(A2,'Raw_Summary'!$A:$A,0)),"")</f>
        <v/>
      </c>
      <c r="C2" t="inlineStr">
        <is>
          <t>Delivery Excellence</t>
        </is>
      </c>
    </row>
    <row r="3">
      <c r="A3" t="inlineStr">
        <is>
          <t>de_deliverables_accepted</t>
        </is>
      </c>
      <c r="B3">
        <f>IFERROR(INDEX('Raw_Summary'!$B:$B,MATCH(A3,'Raw_Summary'!$A:$A,0)),"")</f>
        <v/>
      </c>
      <c r="C3" t="inlineStr">
        <is>
          <t>Delivery Excellence</t>
        </is>
      </c>
    </row>
    <row r="4">
      <c r="A4" t="inlineStr">
        <is>
          <t>de_escalation_count</t>
        </is>
      </c>
      <c r="B4">
        <f>IFERROR(INDEX('Raw_Summary'!$B:$B,MATCH(A4,'Raw_Summary'!$A:$A,0)),"")</f>
        <v/>
      </c>
      <c r="C4" t="inlineStr">
        <is>
          <t>Delivery Excellence</t>
        </is>
      </c>
    </row>
    <row r="5">
      <c r="A5" t="inlineStr">
        <is>
          <t>de_post_delivery_defects</t>
        </is>
      </c>
      <c r="B5">
        <f>IFERROR(INDEX('Raw_Summary'!$B:$B,MATCH(A5,'Raw_Summary'!$A:$A,0)),"")</f>
        <v/>
      </c>
      <c r="C5" t="inlineStr">
        <is>
          <t>Delivery Excellence</t>
        </is>
      </c>
    </row>
    <row r="6">
      <c r="A6" t="inlineStr">
        <is>
          <t>qp_rework_count</t>
        </is>
      </c>
      <c r="B6">
        <f>IFERROR(INDEX('Raw_Summary'!$B:$B,MATCH(A6,'Raw_Summary'!$A:$A,0)),"")</f>
        <v/>
      </c>
      <c r="C6" t="inlineStr">
        <is>
          <t>Quality &amp; Process</t>
        </is>
      </c>
    </row>
    <row r="7">
      <c r="A7" t="inlineStr">
        <is>
          <t>qp_total_deliverables</t>
        </is>
      </c>
      <c r="B7">
        <f>IFERROR(INDEX('Raw_Summary'!$B:$B,MATCH(A7,'Raw_Summary'!$A:$A,0)),"")</f>
        <v/>
      </c>
      <c r="C7" t="inlineStr">
        <is>
          <t>Quality &amp; Process</t>
        </is>
      </c>
    </row>
    <row r="8">
      <c r="A8" t="inlineStr">
        <is>
          <t>qp_compliant_deliveries</t>
        </is>
      </c>
      <c r="B8">
        <f>IFERROR(INDEX('Raw_Summary'!$B:$B,MATCH(A8,'Raw_Summary'!$A:$A,0)),"")</f>
        <v/>
      </c>
      <c r="C8" t="inlineStr">
        <is>
          <t>Quality &amp; Process</t>
        </is>
      </c>
    </row>
    <row r="9">
      <c r="A9" t="inlineStr">
        <is>
          <t>vc_additional_initiatives</t>
        </is>
      </c>
      <c r="B9">
        <f>IFERROR(INDEX('Raw_Summary'!$B:$B,MATCH(A9,'Raw_Summary'!$A:$A,0)),"")</f>
        <v/>
      </c>
      <c r="C9" t="inlineStr">
        <is>
          <t>Value Add &amp; Client Satisfaction</t>
        </is>
      </c>
    </row>
    <row r="10">
      <c r="A10" t="inlineStr">
        <is>
          <t>vc_total_score</t>
        </is>
      </c>
      <c r="B10">
        <f>IFERROR(INDEX('Raw_Summary'!$B:$B,MATCH(A10,'Raw_Summary'!$A:$A,0)),"")</f>
        <v/>
      </c>
      <c r="C10" t="inlineStr">
        <is>
          <t>Value Add &amp; Client Satisfaction</t>
        </is>
      </c>
    </row>
    <row r="11">
      <c r="A11" t="inlineStr">
        <is>
          <t>vc_total_responses</t>
        </is>
      </c>
      <c r="B11">
        <f>IFERROR(INDEX('Raw_Summary'!$B:$B,MATCH(A11,'Raw_Summary'!$A:$A,0)),"")</f>
        <v/>
      </c>
      <c r="C11" t="inlineStr">
        <is>
          <t>Value Add &amp; Client Satisfaction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.83203125" customWidth="1" min="1" max="1"/>
  </cols>
  <sheetData>
    <row r="1">
      <c r="A1" t="inlineStr">
        <is>
          <t>How To Use (Approval Sample)</t>
        </is>
      </c>
    </row>
    <row r="2">
      <c r="A2" t="inlineStr">
        <is>
          <t>1. Fill ONLY Raw Delivery Log rows.</t>
        </is>
      </c>
    </row>
    <row r="3">
      <c r="A3" t="inlineStr">
        <is>
          <t>2. Raw_Summary auto-calculates KPI base values.</t>
        </is>
      </c>
    </row>
    <row r="4">
      <c r="A4" t="inlineStr">
        <is>
          <t>3. KPI Auto Fill Preview shows values that your KPI goal sheets can read.</t>
        </is>
      </c>
    </row>
    <row r="5">
      <c r="A5" t="inlineStr">
        <is>
          <t>4. Reference Link column shows display text but opens URL target.</t>
        </is>
      </c>
    </row>
    <row r="6">
      <c r="A6" t="inlineStr">
        <is>
          <t>5. This file is for manager approval of approach before template/code 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2026-02-23T08:15:32Z</dcterms:created>
  <dcterms:modified xsi:type="dcterms:W3CDTF">2026-02-23T08:15:32Z</dcterms:modified>
</cp:coreProperties>
</file>